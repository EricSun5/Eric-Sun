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ee6edf44d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62452cdc5bf4c00"/>
    <x:sheet xmlns:r="http://schemas.openxmlformats.org/officeDocument/2006/relationships" name="Legend-Key" sheetId="2" r:id="R718c6970ac544280"/>
    <x:sheet xmlns:r="http://schemas.openxmlformats.org/officeDocument/2006/relationships" name="Inputs" sheetId="3" r:id="R8699559340c94ea0"/>
    <x:sheet xmlns:r="http://schemas.openxmlformats.org/officeDocument/2006/relationships" name="Forward" sheetId="4" r:id="R646b1b25ca7342c5"/>
    <x:sheet xmlns:r="http://schemas.openxmlformats.org/officeDocument/2006/relationships" name="Money Market" sheetId="5" r:id="Rbb69de5f3e0447fb"/>
    <x:sheet xmlns:r="http://schemas.openxmlformats.org/officeDocument/2006/relationships" name="Options" sheetId="6" r:id="R16874a6f07be4d3e"/>
    <x:sheet xmlns:r="http://schemas.openxmlformats.org/officeDocument/2006/relationships" name="Sensitivity" sheetId="7" r:id="R30565f1b8b4542b1"/>
    <x:sheet xmlns:r="http://schemas.openxmlformats.org/officeDocument/2006/relationships" name="Notes &amp; Assumptions" sheetId="8" r:id="R98d5c17aa33947ab"/>
  </x:sheets>
  <x:definedNames>
    <x:definedName name="FC_AMT">'Inputs'!$C$4</x:definedName>
    <x:definedName name="S0_in">'Inputs'!$C$5</x:definedName>
    <x:definedName name="F0_in">'Inputs'!$C$6</x:definedName>
    <x:definedName name="R_USD">'Inputs'!$C$7</x:definedName>
    <x:definedName name="R_FC">'Inputs'!$C$8</x:definedName>
    <x:definedName name="K_PUT">'Inputs'!$C$9</x:definedName>
    <x:definedName name="K_CALL">'Inputs'!$C$10</x:definedName>
    <x:definedName name="PREM_PUT">'Inputs'!$C$11</x:definedName>
    <x:definedName name="PREM_CALL">'Inputs'!$C$12</x:definedName>
    <x:definedName name="T_DAYS">'Inputs'!$C$13</x:definedName>
    <x:definedName name="FWD_PROCEEDS">'Forward'!$C$4</x:definedName>
    <x:definedName name="MM_BORROW_FC">'Money Market'!$D$4</x:definedName>
    <x:definedName name="MM_USD_NOW">'Money Market'!$D$5</x:definedName>
    <x:definedName name="MM_PROCEEDS">'Money Market'!$D$6</x:definedName>
    <x:definedName name="F_IMPLIED">'Money Market'!$D$7</x:definedName>
    <x:definedName name="PARITY_GAP">'Money Market'!$D$11</x:definedName>
    <x:definedName name="MM_FWD_GAP">'Money Market'!$D$12</x:definedName>
    <x:definedName name="PARITY_STATUS">'Money Market'!$D$13</x:definedName>
    <x:definedName name="PUT_PREM_TOTAL">'Options'!$D$4</x:definedName>
    <x:definedName name="CALL_PREM_TOTAL">'Options'!$D$5</x:definedName>
    <x:definedName name="PUT_FLOOR">'Options'!$D$6</x:definedName>
    <x:definedName name="CALL_PROTECTED_COST">'Options'!$D$8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00"/>
    <x:numFmt numFmtId="202" formatCode="0.000%"/>
    <x:numFmt numFmtId="203" formatCode="0"/>
    <x:numFmt numFmtId="204" formatCode="$#,##0.00;[Red]($#,##0.00);-"/>
    <x:numFmt numFmtId="205" formatCode="€#,##0.00;[Red](€#,##0.00);-"/>
    <x:numFmt numFmtId="206" formatCode="0.000000"/>
    <x:numFmt numFmtId="207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1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5" borderId="4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3" borderId="4" xfId="0" applyNumberFormat="1" applyFont="1" applyFill="1" applyBorder="1"/>
    <x:xf numFmtId="0" fontId="0" fillId="6" borderId="4" xfId="0" applyNumberFormat="1" applyFont="1" applyFill="1" applyBorder="1"/>
    <x:xf numFmtId="0" fontId="0" fillId="7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7" xfId="0" applyNumberFormat="1" applyFont="1" applyFill="1" applyBorder="1"/>
    <x:xf numFmtId="0" fontId="0" fillId="5" borderId="10" xfId="0" applyNumberFormat="1" applyFont="1" applyFill="1" applyBorder="1"/>
    <x:xf numFmtId="0" fontId="0" fillId="0" borderId="18" xfId="0" applyNumberFormat="1" applyFont="1" applyFill="1" applyBorder="1"/>
    <x:xf numFmtId="0" fontId="0" fillId="0" borderId="11" xfId="0" applyNumberFormat="1" applyFont="1" applyFill="1" applyBorder="1"/>
    <x:xf numFmtId="0" fontId="0" fillId="3" borderId="10" xfId="0" applyNumberFormat="1" applyFont="1" applyFill="1" applyBorder="1"/>
    <x:xf numFmtId="0" fontId="0" fillId="6" borderId="10" xfId="0" applyNumberFormat="1" applyFont="1" applyFill="1" applyBorder="1"/>
    <x:xf numFmtId="0" fontId="0" fillId="7" borderId="12" xfId="0" applyNumberFormat="1" applyFont="1" applyFill="1" applyBorder="1"/>
    <x:xf numFmtId="0" fontId="0" fillId="0" borderId="19" xfId="0" applyNumberFormat="1" applyFont="1" applyFill="1" applyBorder="1"/>
    <x:xf numFmtId="0" fontId="0" fillId="0" borderId="13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15" xfId="0" applyNumberFormat="1" applyFont="1" applyFill="1" applyBorder="1"/>
    <x:xf numFmtId="0" fontId="0" fillId="3" borderId="1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5" borderId="16" xfId="0" applyNumberFormat="1" applyFont="1" applyFill="1" applyBorder="1"/>
    <x:xf numFmtId="0" fontId="0" fillId="3" borderId="1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5" borderId="18" xfId="0" applyNumberFormat="1" applyFont="1" applyFill="1" applyBorder="1"/>
    <x:xf numFmtId="0" fontId="0" fillId="3" borderId="18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5" borderId="19" xfId="0" applyNumberFormat="1" applyFont="1" applyFill="1" applyBorder="1"/>
    <x:xf numFmtId="0" fontId="0" fillId="3" borderId="19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200" fontId="0" fillId="5" borderId="15" xfId="0" applyNumberFormat="1" applyFont="1" applyFill="1" applyBorder="1"/>
    <x:xf numFmtId="200" fontId="0" fillId="5" borderId="18" xfId="0" applyNumberFormat="1" applyFont="1" applyFill="1" applyBorder="1"/>
    <x:xf numFmtId="201" fontId="0" fillId="5" borderId="15" xfId="0" applyNumberFormat="1" applyFont="1" applyFill="1" applyBorder="1"/>
    <x:xf numFmtId="201" fontId="0" fillId="5" borderId="18" xfId="0" applyNumberFormat="1" applyFont="1" applyFill="1" applyBorder="1"/>
    <x:xf numFmtId="202" fontId="0" fillId="5" borderId="15" xfId="0" applyNumberFormat="1" applyFont="1" applyFill="1" applyBorder="1"/>
    <x:xf numFmtId="202" fontId="0" fillId="5" borderId="18" xfId="0" applyNumberFormat="1" applyFont="1" applyFill="1" applyBorder="1"/>
    <x:xf numFmtId="203" fontId="0" fillId="5" borderId="16" xfId="0" applyNumberFormat="1" applyFont="1" applyFill="1" applyBorder="1"/>
    <x:xf numFmtId="203" fontId="0" fillId="5" borderId="19" xfId="0" applyNumberFormat="1" applyFont="1" applyFill="1" applyBorder="1"/>
    <x:xf numFmtId="0" fontId="2" fillId="7" borderId="0" xfId="0" applyNumberFormat="1" applyFont="1" applyFill="1" applyBorder="1"/>
    <x:xf numFmtId="204" fontId="2" fillId="7" borderId="0" xfId="0" applyNumberFormat="1" applyFont="1" applyFill="1" applyBorder="1"/>
    <x:xf numFmtId="0" fontId="2" fillId="7" borderId="1" xfId="0" applyNumberFormat="1" applyFont="1" applyFill="1" applyBorder="1"/>
    <x:xf numFmtId="204" fontId="2" fillId="7" borderId="1" xfId="0" applyNumberFormat="1" applyFont="1" applyFill="1" applyBorder="1"/>
    <x:xf numFmtId="0" fontId="0" fillId="0" borderId="4" xfId="0" applyNumberFormat="1" applyFont="1" applyFill="1" applyBorder="1"/>
    <x:xf numFmtId="204" fontId="2" fillId="7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204" fontId="2" fillId="7" borderId="11" xfId="0" applyNumberFormat="1" applyFont="1" applyFill="1" applyBorder="1"/>
    <x:xf numFmtId="0" fontId="0" fillId="0" borderId="12" xfId="0" applyNumberFormat="1" applyFont="1" applyFill="1" applyBorder="1"/>
    <x:xf numFmtId="205" fontId="0" fillId="6" borderId="0" xfId="0" applyNumberFormat="1" applyFont="1" applyFill="1" applyBorder="1"/>
    <x:xf numFmtId="205" fontId="0" fillId="6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5" fontId="0" fillId="6" borderId="5" xfId="0" applyNumberFormat="1" applyFont="1" applyFill="1" applyBorder="1"/>
    <x:xf numFmtId="204" fontId="0" fillId="6" borderId="5" xfId="0" applyNumberFormat="1" applyFont="1" applyFill="1" applyBorder="1"/>
    <x:xf numFmtId="201" fontId="0" fillId="6" borderId="7" xfId="0" applyNumberFormat="1" applyFont="1" applyFill="1" applyBorder="1"/>
    <x:xf numFmtId="205" fontId="0" fillId="6" borderId="11" xfId="0" applyNumberFormat="1" applyFont="1" applyFill="1" applyBorder="1"/>
    <x:xf numFmtId="204" fontId="0" fillId="6" borderId="11" xfId="0" applyNumberFormat="1" applyFont="1" applyFill="1" applyBorder="1"/>
    <x:xf numFmtId="201" fontId="0" fillId="6" borderId="13" xfId="0" applyNumberFormat="1" applyFont="1" applyFill="1" applyBorder="1"/>
    <x:xf numFmtId="206" fontId="0" fillId="7" borderId="0" xfId="0" applyNumberFormat="1" applyFont="1" applyFill="1" applyBorder="1"/>
    <x:xf numFmtId="206" fontId="0" fillId="7" borderId="1" xfId="0" applyNumberFormat="1" applyFont="1" applyFill="1" applyBorder="1"/>
    <x:xf numFmtId="204" fontId="0" fillId="7" borderId="0" xfId="0" applyNumberFormat="1" applyFont="1" applyFill="1" applyBorder="1"/>
    <x:xf numFmtId="204" fontId="0" fillId="7" borderId="1" xfId="0" applyNumberFormat="1" applyFont="1" applyFill="1" applyBorder="1"/>
    <x:xf numFmtId="206" fontId="0" fillId="7" borderId="5" xfId="0" applyNumberFormat="1" applyFont="1" applyFill="1" applyBorder="1"/>
    <x:xf numFmtId="204" fontId="0" fillId="7" borderId="5" xfId="0" applyNumberFormat="1" applyFont="1" applyFill="1" applyBorder="1"/>
    <x:xf numFmtId="0" fontId="0" fillId="7" borderId="7" xfId="0" applyNumberFormat="1" applyFont="1" applyFill="1" applyBorder="1"/>
    <x:xf numFmtId="206" fontId="0" fillId="7" borderId="11" xfId="0" applyNumberFormat="1" applyFont="1" applyFill="1" applyBorder="1"/>
    <x:xf numFmtId="204" fontId="0" fillId="7" borderId="11" xfId="0" applyNumberFormat="1" applyFont="1" applyFill="1" applyBorder="1"/>
    <x:xf numFmtId="0" fontId="0" fillId="7" borderId="13" xfId="0" applyNumberFormat="1" applyFont="1" applyFill="1" applyBorder="1"/>
    <x:xf numFmtId="204" fontId="0" fillId="7" borderId="7" xfId="0" applyNumberFormat="1" applyFont="1" applyFill="1" applyBorder="1"/>
    <x:xf numFmtId="204" fontId="0" fillId="7" borderId="13" xfId="0" applyNumberFormat="1" applyFont="1" applyFill="1" applyBorder="1"/>
    <x:xf numFmtId="207" fontId="0" fillId="6" borderId="0" xfId="0" applyNumberFormat="1" applyFont="1" applyFill="1" applyBorder="1"/>
    <x:xf numFmtId="207" fontId="0" fillId="6" borderId="1" xfId="0" applyNumberFormat="1" applyFont="1" applyFill="1" applyBorder="1"/>
    <x:xf numFmtId="207" fontId="0" fillId="6" borderId="4" xfId="0" applyNumberFormat="1" applyFont="1" applyFill="1" applyBorder="1"/>
    <x:xf numFmtId="201" fontId="0" fillId="6" borderId="15" xfId="0" applyNumberFormat="1" applyFont="1" applyFill="1" applyBorder="1"/>
    <x:xf numFmtId="204" fontId="0" fillId="6" borderId="15" xfId="0" applyNumberFormat="1" applyFont="1" applyFill="1" applyBorder="1"/>
    <x:xf numFmtId="207" fontId="0" fillId="6" borderId="6" xfId="0" applyNumberFormat="1" applyFont="1" applyFill="1" applyBorder="1"/>
    <x:xf numFmtId="201" fontId="0" fillId="6" borderId="16" xfId="0" applyNumberFormat="1" applyFont="1" applyFill="1" applyBorder="1"/>
    <x:xf numFmtId="204" fontId="0" fillId="6" borderId="16" xfId="0" applyNumberFormat="1" applyFont="1" applyFill="1" applyBorder="1"/>
    <x:xf numFmtId="204" fontId="0" fillId="6" borderId="7" xfId="0" applyNumberFormat="1" applyFont="1" applyFill="1" applyBorder="1"/>
    <x:xf numFmtId="207" fontId="0" fillId="6" borderId="10" xfId="0" applyNumberFormat="1" applyFont="1" applyFill="1" applyBorder="1"/>
    <x:xf numFmtId="201" fontId="0" fillId="6" borderId="18" xfId="0" applyNumberFormat="1" applyFont="1" applyFill="1" applyBorder="1"/>
    <x:xf numFmtId="204" fontId="0" fillId="6" borderId="18" xfId="0" applyNumberFormat="1" applyFont="1" applyFill="1" applyBorder="1"/>
    <x:xf numFmtId="207" fontId="0" fillId="6" borderId="12" xfId="0" applyNumberFormat="1" applyFont="1" applyFill="1" applyBorder="1"/>
    <x:xf numFmtId="201" fontId="0" fillId="6" borderId="19" xfId="0" applyNumberFormat="1" applyFont="1" applyFill="1" applyBorder="1"/>
    <x:xf numFmtId="204" fontId="0" fillId="6" borderId="19" xfId="0" applyNumberFormat="1" applyFont="1" applyFill="1" applyBorder="1"/>
    <x:xf numFmtId="204" fontId="0" fillId="6" borderId="13" xfId="0" applyNumberFormat="1" applyFont="1" applyFill="1" applyBorder="1"/>
    <x:xf numFmtId="0" fontId="0" fillId="3" borderId="6" xfId="0" applyNumberFormat="1" applyFont="1" applyFill="1" applyBorder="1"/>
    <x:xf numFmtId="0" fontId="0" fillId="3" borderId="12" xfId="0" applyNumberFormat="1" applyFont="1" applyFill="1" applyBorder="1"/>
    <x:xf numFmtId="0" fontId="0" fillId="7" borderId="5" xfId="0" applyNumberFormat="1" applyFont="1" applyFill="1" applyBorder="1"/>
    <x:xf numFmtId="0" fontId="0" fillId="7" borderId="11" xfId="0" applyNumberFormat="1" applyFont="1" applyFill="1" applyBorder="1"/>
    <x:xf numFmtId="0" fontId="0" fillId="0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0170fbf0f469e" /><Relationship Type="http://schemas.openxmlformats.org/officeDocument/2006/relationships/theme" Target="/xl/theme/theme1.xml" Id="Rbbecd4c573704664" /><Relationship Type="http://schemas.openxmlformats.org/officeDocument/2006/relationships/sharedStrings" Target="/xl/sharedStrings.xml" Id="R505f1630e1d44bc0" /><Relationship Type="http://schemas.openxmlformats.org/officeDocument/2006/relationships/worksheet" Target="/xl/worksheets/sheet1.xml" Id="R962452cdc5bf4c00" /><Relationship Type="http://schemas.openxmlformats.org/officeDocument/2006/relationships/worksheet" Target="/xl/worksheets/sheet2.xml" Id="R718c6970ac544280" /><Relationship Type="http://schemas.openxmlformats.org/officeDocument/2006/relationships/worksheet" Target="/xl/worksheets/sheet3.xml" Id="R8699559340c94ea0" /><Relationship Type="http://schemas.openxmlformats.org/officeDocument/2006/relationships/worksheet" Target="/xl/worksheets/sheet4.xml" Id="R646b1b25ca7342c5" /><Relationship Type="http://schemas.openxmlformats.org/officeDocument/2006/relationships/worksheet" Target="/xl/worksheets/sheet5.xml" Id="Rbb69de5f3e0447fb" /><Relationship Type="http://schemas.openxmlformats.org/officeDocument/2006/relationships/worksheet" Target="/xl/worksheets/sheet6.xml" Id="R16874a6f07be4d3e" /><Relationship Type="http://schemas.openxmlformats.org/officeDocument/2006/relationships/worksheet" Target="/xl/worksheets/sheet7.xml" Id="R30565f1b8b4542b1" /><Relationship Type="http://schemas.openxmlformats.org/officeDocument/2006/relationships/worksheet" Target="/xl/worksheets/sheet8.xml" Id="R98d5c17aa33947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781d46b5e54b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 Receivable: USD Proceeds by Settlement EURUSD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Unhedged</c:v>
          </c:tx>
          <c:marker>
            <c:symbol val="none"/>
          </c:marker>
          <c:cat>
            <c:strRef>
              <c:f>'Sensitivity'!$B$7:$B$17</c:f>
              <c:strCache>
                <c:ptCount val="0"/>
              </c:strCache>
            </c:strRef>
          </c:cat>
          <c:val>
            <c:numRef>
              <c:f>'Sensitivity'!$C$7:$C$17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Forward</c:v>
          </c:tx>
          <c:marker>
            <c:symbol val="none"/>
          </c:marker>
          <c:cat>
            <c:strRef>
              <c:f>'Sensitivity'!$B$7:$B$17</c:f>
              <c:strCache>
                <c:ptCount val="0"/>
              </c:strCache>
            </c:strRef>
          </c:cat>
          <c:val>
            <c:numRef>
              <c:f>'Sensitivity'!$D$7:$D$17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Money Market</c:v>
          </c:tx>
          <c:marker>
            <c:symbol val="none"/>
          </c:marker>
          <c:cat>
            <c:strRef>
              <c:f>'Sensitivity'!$B$7:$B$17</c:f>
              <c:strCache>
                <c:ptCount val="0"/>
              </c:strCache>
            </c:strRef>
          </c:cat>
          <c:val>
            <c:numRef>
              <c:f>'Sensitivity'!$E$7:$E$17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Put Net</c:v>
          </c:tx>
          <c:marker>
            <c:symbol val="none"/>
          </c:marker>
          <c:cat>
            <c:strRef>
              <c:f>'Sensitivity'!$B$7:$B$17</c:f>
              <c:strCache>
                <c:ptCount val="0"/>
              </c:strCache>
            </c:strRef>
          </c:cat>
          <c:val>
            <c:numRef>
              <c:f>'Sensitivity'!$F$7:$F$17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Settlement EURUSD (USD per EUR)</a:t>
                </a:r>
              </a:p>
            </c:rich>
          </c:tx>
          <c:overlay val="0"/>
        </c:title>
        <c:numFmt formatCode="0.00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USD Proceeds</a:t>
                </a:r>
              </a:p>
            </c:rich>
          </c:tx>
          <c:overlay val="0"/>
        </c:title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5</xdr:row>
      <xdr:rowOff>0</xdr:rowOff>
    </xdr:from>
    <xdr:ext cx="7239000" cy="3714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781d46b5e54bc9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blSensitivity" displayName="tblSensitivity" ref="A6:G17" headerRowCount="1" totalsRowCount="0" totalsRowShown="0">
  <x:tableColumns count="7">
    <x:tableColumn id="1" name="Change vs S0"/>
    <x:tableColumn id="2" name="S_T (USD/EUR)"/>
    <x:tableColumn id="3" name="Unhedged Proceeds (USD)"/>
    <x:tableColumn id="4" name="Forward Proceeds (USD)"/>
    <x:tableColumn id="5" name="Money-Market Proceeds (USD)"/>
    <x:tableColumn id="6" name="Put Net Proceeds (USD)"/>
    <x:tableColumn id="7" name="Call Protected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2fdeb80ee4c4a9e" /><Relationship Type="http://schemas.openxmlformats.org/officeDocument/2006/relationships/table" Target="/xl/tables/table1.xml" Id="R48632e7c70844944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5" t="str">
        <x:v>FX Hedging Model — Payroll Software</x:v>
      </x:c>
      <x:c r="B1" s="5"/>
      <x:c r="C1" s="5"/>
      <x:c r="D1" s="5"/>
      <x:c r="E1" s="5"/>
      <x:c r="F1" s="5"/>
      <x:c r="G1" s="5"/>
    </x:row>
    <x:row r="3">
      <x:c r="A3" s="16" t="str">
        <x:v>Scenario</x:v>
      </x:c>
      <x:c r="B3" s="17" t="str">
        <x:v>Scenario 6 — payroll-software</x:v>
      </x:c>
    </x:row>
    <x:row r="4">
      <x:c r="A4" s="18" t="str">
        <x:v>Author</x:v>
      </x:c>
      <x:c r="B4" s="19" t="str">
        <x:v>Eric Sun</x:v>
      </x:c>
    </x:row>
    <x:row r="5">
      <x:c r="A5" s="18" t="str">
        <x:v>Build date</x:v>
      </x:c>
      <x:c r="B5" s="19" t="str">
        <x:v>2026-10-27</x:v>
      </x:c>
    </x:row>
    <x:row r="6">
      <x:c r="A6" s="18" t="str">
        <x:v>Exposure</x:v>
      </x:c>
      <x:c r="B6" s="19" t="str">
        <x:v>EUR 4,300,000 receivable</x:v>
      </x:c>
    </x:row>
    <x:row r="7">
      <x:c r="A7" s="18" t="str">
        <x:v>Settlement</x:v>
      </x:c>
      <x:c r="B7" s="19" t="str">
        <x:v>365 days</x:v>
      </x:c>
    </x:row>
    <x:row r="8">
      <x:c r="A8" s="20" t="str">
        <x:v>Business risk</x:v>
      </x:c>
      <x:c r="B8" s="21" t="str">
        <x:v>EUR weakness reduces USD value of the receivable</x:v>
      </x:c>
    </x:row>
    <x:row r="9">
      <x:c r="A9" s="167" t="str">
        <x:v>Stage 4 populated</x:v>
      </x:c>
      <x:c r="B9" s="168" t="str">
        <x:v>2026-10-27</x:v>
      </x:c>
    </x:row>
    <x:row r="10">
      <x:c r="A10" s="31" t="str">
        <x:v>Data Provenance / Stage Status</x:v>
      </x:c>
      <x:c r="B10" s="31"/>
      <x:c r="C10" s="31"/>
      <x:c r="D10" s="31"/>
      <x:c r="E10" s="31"/>
    </x:row>
    <x:row r="11">
      <x:c r="A11" s="44" t="str">
        <x:v>Input group</x:v>
      </x:c>
      <x:c r="B11" s="45" t="str">
        <x:v>Status</x:v>
      </x:c>
      <x:c r="C11" s="45" t="str">
        <x:v>Stage 2 treatment</x:v>
      </x:c>
      <x:c r="D11" s="45" t="str">
        <x:v>Stage 4 action</x:v>
      </x:c>
      <x:c r="E11" s="46" t="str">
        <x:v>Source / provenance</x:v>
      </x:c>
    </x:row>
    <x:row r="12">
      <x:c r="A12" s="47" t="str">
        <x:v>Contractual amount &amp; maturity</x:v>
      </x:c>
      <x:c r="B12" s="48" t="str">
        <x:v>Fixed</x:v>
      </x:c>
      <x:c r="C12" s="48" t="str">
        <x:v>Scenario inputs</x:v>
      </x:c>
      <x:c r="D12" s="48" t="str">
        <x:v>Remain fixed</x:v>
      </x:c>
      <x:c r="E12" s="19" t="str">
        <x:v>Scenario 6</x:v>
      </x:c>
    </x:row>
    <x:row r="13">
      <x:c r="A13" s="47" t="str">
        <x:v>Forward &amp; option premiums</x:v>
      </x:c>
      <x:c r="B13" s="48" t="str">
        <x:v>Mixed</x:v>
      </x:c>
      <x:c r="C13" s="48" t="str">
        <x:v>Forward now CIP-implied; option premiums retained from scenario</x:v>
      </x:c>
      <x:c r="D13" s="48" t="str">
        <x:v>Keep data provenance in memo</x:v>
      </x:c>
      <x:c r="E13" s="19" t="str">
        <x:v>Stage 4 population</x:v>
      </x:c>
    </x:row>
    <x:row r="14">
      <x:c r="A14" s="47" t="str">
        <x:v>Spot, USD rate, EUR rate</x:v>
      </x:c>
      <x:c r="B14" s="48" t="str">
        <x:v>Live / same-date</x:v>
      </x:c>
      <x:c r="C14" s="48" t="str">
        <x:v>2026-10-27 observations</x:v>
      </x:c>
      <x:c r="D14" s="48" t="str">
        <x:v>Re-populate if analysis date changes</x:v>
      </x:c>
      <x:c r="E14" s="19" t="str">
        <x:v>ECB / U.S. Treasury / Germany 1Y</x:v>
      </x:c>
    </x:row>
    <x:row r="15">
      <x:c r="A15" s="49" t="str">
        <x:v>Option strikes</x:v>
      </x:c>
      <x:c r="B15" s="50" t="str">
        <x:v>Derived live</x:v>
      </x:c>
      <x:c r="C15" s="50" t="str">
        <x:v>Set equal to live spot</x:v>
      </x:c>
      <x:c r="D15" s="50" t="str">
        <x:v>Remain ATM to S0_in</x:v>
      </x:c>
      <x:c r="E15" s="21" t="str">
        <x:v>Derived from S0_in</x:v>
      </x:c>
    </x:row>
    <x:row r="17">
      <x:c r="A17" s="59" t="str">
        <x:v>Stage 4 population: S0_in = 1.1150; R_USD = 4.50%; R_FC = 2.930%; F0_in = 1.1322366 (CIP-implied); K_PUT = K_CALL = 1.1150. Scenario option premiums remain unchanged.</x:v>
      </x:c>
      <x:c r="B17" s="59" t="str">
        <x:v>Stage 4 population: S0_in = 1.1150; R_USD = 4.50%; R_FC = 2.930%; F0_in = 1.1322366 (CIP-implied); K_PUT = K_CALL = 1.1150. Scenario option premiums remain unchanged.</x:v>
      </x:c>
      <x:c r="C17" s="59" t="str">
        <x:v>Stage 4 population: S0_in = 1.1150; R_USD = 4.50%; R_FC = 2.930%; F0_in = 1.1322366 (CIP-implied); K_PUT = K_CALL = 1.1150. Scenario option premiums remain unchanged.</x:v>
      </x:c>
      <x:c r="D17" s="59" t="str">
        <x:v>Stage 4 population: S0_in = 1.1150; R_USD = 4.50%; R_FC = 2.930%; F0_in = 1.1322366 (CIP-implied); K_PUT = K_CALL = 1.1150. Scenario option premiums remain unchanged.</x:v>
      </x:c>
      <x:c r="E17" s="59" t="str">
        <x:v>Stage 4 population: S0_in = 1.1150; R_USD = 4.50%; R_FC = 2.930%; F0_in = 1.1322366 (CIP-implied); K_PUT = K_CALL = 1.1150. Scenario option premiums remain unchanged.</x:v>
      </x:c>
      <x:c r="F17" s="59" t="str">
        <x:v>Stage 4 population: S0_in = 1.1150; R_USD = 4.50%; R_FC = 2.930%; F0_in = 1.1322366 (CIP-implied); K_PUT = K_CALL = 1.1150. Scenario option premiums remain unchanged.</x:v>
      </x:c>
      <x:c r="G17" s="59" t="str">
        <x:v>Stage 4 population: S0_in = 1.1150; R_USD = 4.50%; R_FC = 2.930%; F0_in = 1.1322366 (CIP-implied); K_PUT = K_CALL = 1.1150. Scenario option premiums remain unchanged.</x:v>
      </x:c>
    </x:row>
    <x:row r="18">
      <x:c r="A18" s="59" t="str">
        <x:v>Stage 4 population: S0_in = 1.1150; R_USD = 4.50%; R_FC = 2.930%; F0_in = 1.1322366 (CIP-implied); K_PUT = K_CALL = 1.1150. Scenario option premiums remain unchanged.</x:v>
      </x:c>
      <x:c r="B18" s="59" t="str">
        <x:v>Stage 4 population: S0_in = 1.1150; R_USD = 4.50%; R_FC = 2.930%; F0_in = 1.1322366 (CIP-implied); K_PUT = K_CALL = 1.1150. Scenario option premiums remain unchanged.</x:v>
      </x:c>
      <x:c r="C18" s="59" t="str">
        <x:v>Stage 4 population: S0_in = 1.1150; R_USD = 4.50%; R_FC = 2.930%; F0_in = 1.1322366 (CIP-implied); K_PUT = K_CALL = 1.1150. Scenario option premiums remain unchanged.</x:v>
      </x:c>
      <x:c r="D18" s="59" t="str">
        <x:v>Stage 4 population: S0_in = 1.1150; R_USD = 4.50%; R_FC = 2.930%; F0_in = 1.1322366 (CIP-implied); K_PUT = K_CALL = 1.1150. Scenario option premiums remain unchanged.</x:v>
      </x:c>
      <x:c r="E18" s="59" t="str">
        <x:v>Stage 4 population: S0_in = 1.1150; R_USD = 4.50%; R_FC = 2.930%; F0_in = 1.1322366 (CIP-implied); K_PUT = K_CALL = 1.1150. Scenario option premiums remain unchanged.</x:v>
      </x:c>
      <x:c r="F18" s="59" t="str">
        <x:v>Stage 4 population: S0_in = 1.1150; R_USD = 4.50%; R_FC = 2.930%; F0_in = 1.1322366 (CIP-implied); K_PUT = K_CALL = 1.1150. Scenario option premiums remain unchanged.</x:v>
      </x:c>
      <x:c r="G18" s="59" t="str">
        <x:v>Stage 4 population: S0_in = 1.1150; R_USD = 4.50%; R_FC = 2.930%; F0_in = 1.1322366 (CIP-implied); K_PUT = K_CALL = 1.1150. Scenario option premiums remain unchanged.</x:v>
      </x:c>
    </x:row>
  </x:sheetData>
  <x:mergeCells>
    <x:mergeCell ref="A1:G1"/>
    <x:mergeCell ref="A10:E10"/>
    <x:mergeCell ref="A17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42" hidden="0" customWidth="1"/>
  </x:cols>
  <x:sheetData>
    <x:row r="1" ht="28" customHeight="1">
      <x:c r="A1" s="5" t="str">
        <x:v>Legend / Key</x:v>
      </x:c>
      <x:c r="B1" s="5"/>
      <x:c r="C1" s="5"/>
      <x:c r="D1" s="5"/>
      <x:c r="E1" s="5"/>
    </x:row>
    <x:row r="3">
      <x:c r="A3" s="44" t="str">
        <x:v>Color</x:v>
      </x:c>
      <x:c r="B3" s="45" t="str">
        <x:v>Meaning</x:v>
      </x:c>
      <x:c r="C3" s="46" t="str">
        <x:v>Use</x:v>
      </x:c>
    </x:row>
    <x:row r="4">
      <x:c r="A4" s="68" t="str">
        <x:v>Yellow</x:v>
      </x:c>
      <x:c r="B4" s="69" t="str">
        <x:v>Inputs</x:v>
      </x:c>
      <x:c r="C4" s="70" t="str">
        <x:v>Hard-coded scenario or market inputs</x:v>
      </x:c>
    </x:row>
    <x:row r="5">
      <x:c r="A5" s="71" t="str">
        <x:v>Blue</x:v>
      </x:c>
      <x:c r="B5" s="69" t="str">
        <x:v>Assumptions</x:v>
      </x:c>
      <x:c r="C5" s="70" t="str">
        <x:v>Conventions, provenance, and modeling assumptions</x:v>
      </x:c>
    </x:row>
    <x:row r="6">
      <x:c r="A6" s="72" t="str">
        <x:v>Green</x:v>
      </x:c>
      <x:c r="B6" s="69" t="str">
        <x:v>Formulas</x:v>
      </x:c>
      <x:c r="C6" s="70" t="str">
        <x:v>Intermediate calculations</x:v>
      </x:c>
    </x:row>
    <x:row r="7">
      <x:c r="A7" s="73" t="str">
        <x:v>Gray</x:v>
      </x:c>
      <x:c r="B7" s="74" t="str">
        <x:v>Outputs</x:v>
      </x:c>
      <x:c r="C7" s="75" t="str">
        <x:v>Primary results and validation statuses</x:v>
      </x:c>
    </x:row>
    <x:row r="9">
      <x:c r="A9" s="16" t="str">
        <x:v>Convention</x:v>
      </x:c>
      <x:c r="B9" s="17" t="str">
        <x:v>Rule</x:v>
      </x:c>
    </x:row>
    <x:row r="10">
      <x:c r="A10" s="18" t="str">
        <x:v>Rate basis</x:v>
      </x:c>
      <x:c r="B10" s="19" t="str">
        <x:v>Simple annual interest; ACT/360</x:v>
      </x:c>
    </x:row>
    <x:row r="11">
      <x:c r="A11" s="18" t="str">
        <x:v>Settlement</x:v>
      </x:c>
      <x:c r="B11" s="19" t="str">
        <x:v>T_DAYS stays 365; ACT/360 changes interest accrual only</x:v>
      </x:c>
    </x:row>
    <x:row r="12">
      <x:c r="A12" s="18" t="str">
        <x:v>Option premium</x:v>
      </x:c>
      <x:c r="B12" s="19" t="str">
        <x:v>Nominal USD cost; not financed or compounded</x:v>
      </x:c>
    </x:row>
    <x:row r="13">
      <x:c r="A13" s="20" t="str">
        <x:v>Call</x:v>
      </x:c>
      <x:c r="B13" s="21" t="str">
        <x:v>Comparison for reversed EUR-payable exposure; not the primary receivable hedge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6" hidden="0" customWidth="1"/>
    <x:col min="4" max="4" width="14" hidden="0" customWidth="1"/>
    <x:col min="5" max="5" width="18" hidden="0" customWidth="1"/>
    <x:col min="6" max="6" width="42" hidden="0" customWidth="1"/>
    <x:col min="7" max="7" width="25" hidden="0" customWidth="1"/>
  </x:cols>
  <x:sheetData>
    <x:row r="1" ht="28" customHeight="1">
      <x:c r="A1" s="5" t="str">
        <x:v>Inputs — Named-Range Contract</x:v>
      </x:c>
      <x:c r="B1" s="5"/>
      <x:c r="C1" s="5"/>
      <x:c r="D1" s="5"/>
      <x:c r="E1" s="5"/>
      <x:c r="F1" s="5"/>
      <x:c r="G1" s="5"/>
    </x:row>
    <x:row r="3">
      <x:c r="A3" s="44" t="str">
        <x:v>Named Range</x:v>
      </x:c>
      <x:c r="B3" s="45" t="str">
        <x:v>Description</x:v>
      </x:c>
      <x:c r="C3" s="45" t="str">
        <x:v>Value</x:v>
      </x:c>
      <x:c r="D3" s="45" t="str">
        <x:v>Unit</x:v>
      </x:c>
      <x:c r="E3" s="45" t="str">
        <x:v>Stage 4 Status</x:v>
      </x:c>
      <x:c r="F3" s="45" t="str">
        <x:v>Stage 4 Source / Treatment</x:v>
      </x:c>
      <x:c r="G3" s="46" t="str">
        <x:v>Notes</x:v>
      </x:c>
    </x:row>
    <x:row r="4">
      <x:c r="A4" s="47" t="str">
        <x:v>FC_AMT</x:v>
      </x:c>
      <x:c r="B4" s="48" t="str">
        <x:v>Foreign-currency receivable</x:v>
      </x:c>
      <x:c r="C4" s="98" t="n">
        <x:v>4300000</x:v>
      </x:c>
      <x:c r="D4" s="69" t="str">
        <x:v>EUR</x:v>
      </x:c>
      <x:c r="E4" s="87" t="str">
        <x:v>Scenario / fixed</x:v>
      </x:c>
      <x:c r="F4" s="87" t="str">
        <x:v>Assigned contractual amount; remains fixed</x:v>
      </x:c>
      <x:c r="G4" s="88" t="str">
        <x:v>Scenario 6</x:v>
      </x:c>
    </x:row>
    <x:row r="5">
      <x:c r="A5" s="47" t="str">
        <x:v>S0_in</x:v>
      </x:c>
      <x:c r="B5" s="48" t="str">
        <x:v>Spot EURUSD rate at inception</x:v>
      </x:c>
      <x:c r="C5" s="100" t="n">
        <x:v>1.115</x:v>
      </x:c>
      <x:c r="D5" s="69" t="str">
        <x:v>USD/EUR</x:v>
      </x:c>
      <x:c r="E5" s="165" t="str">
        <x:v>Live / Stage 4</x:v>
      </x:c>
      <x:c r="F5" s="165" t="str">
        <x:v>ECB EUR/USD reference rate (2026-10-27): https://www.ecb.europa.eu/stats/policy_and_exchange_rates/euro_reference_exchange_rates/html/index.en.html</x:v>
      </x:c>
      <x:c r="G5" s="165" t="str">
        <x:v>Retrieved 2026-10-27 19:50 HST; EUR 1 = USD 1.1150</x:v>
      </x:c>
    </x:row>
    <x:row r="6">
      <x:c r="A6" s="47" t="str">
        <x:v>F0_in</x:v>
      </x:c>
      <x:c r="B6" s="48" t="str">
        <x:v>365-day EURUSD forward rate</x:v>
      </x:c>
      <x:c r="C6" s="100" t="n">
        <x:v>1.1322365856520666</x:v>
      </x:c>
      <x:c r="D6" s="69" t="str">
        <x:v>USD/EUR</x:v>
      </x:c>
      <x:c r="E6" s="165" t="str">
        <x:v>CIP-implied / Stage 4</x:v>
      </x:c>
      <x:c r="F6" s="165" t="str">
        <x:v>Computed from S0_in, R_USD, R_FC, and T_DAYS using covered interest parity</x:v>
      </x:c>
      <x:c r="G6" s="165" t="str">
        <x:v>Retrieved 2026-10-27 19:50 HST; F0 = 1.1322366; scenario indicative forward = 1.1807</x:v>
      </x:c>
    </x:row>
    <x:row r="7">
      <x:c r="A7" s="47" t="str">
        <x:v>R_USD</x:v>
      </x:c>
      <x:c r="B7" s="48" t="str">
        <x:v>USD annual interest rate</x:v>
      </x:c>
      <x:c r="C7" s="102" t="n">
        <x:v>0.045</x:v>
      </x:c>
      <x:c r="D7" s="69" t="str">
        <x:v>Annual %</x:v>
      </x:c>
      <x:c r="E7" s="165" t="str">
        <x:v>Live / Stage 4</x:v>
      </x:c>
      <x:c r="F7" s="165" t="str">
        <x:v>U.S. Treasury Daily Par Yield Curve, 1-Year (2026-10-27): https://home.treasury.gov/resource-center/data-chart-center/interest-rates/TextView?field_tdr_date_value=2026&amp;type=daily_treasury_yield_curve</x:v>
      </x:c>
      <x:c r="G7" s="165" t="str">
        <x:v>Retrieved 2026-10-27 19:50 HST; 1-year U.S. Treasury = 4.50%</x:v>
      </x:c>
    </x:row>
    <x:row r="8">
      <x:c r="A8" s="47" t="str">
        <x:v>R_FC</x:v>
      </x:c>
      <x:c r="B8" s="48" t="str">
        <x:v>EUR annual interest rate</x:v>
      </x:c>
      <x:c r="C8" s="102" t="n">
        <x:v>0.0293</x:v>
      </x:c>
      <x:c r="D8" s="69" t="str">
        <x:v>Annual %</x:v>
      </x:c>
      <x:c r="E8" s="165" t="str">
        <x:v>Live / Stage 4</x:v>
      </x:c>
      <x:c r="F8" s="165" t="str">
        <x:v>Germany 1-Year government bond yield (2026-10-27): https://www.investing.com/rates-bonds/germany-1-year-bond-yield-historical-data</x:v>
      </x:c>
      <x:c r="G8" s="165" t="str">
        <x:v>Retrieved 2026-10-27 19:50 HST; Germany 1-year yield = 2.930%</x:v>
      </x:c>
    </x:row>
    <x:row r="9">
      <x:c r="A9" s="47" t="str">
        <x:v>K_PUT</x:v>
      </x:c>
      <x:c r="B9" s="48" t="str">
        <x:v>EUR put strike</x:v>
      </x:c>
      <x:c r="C9" s="100" t="n">
        <x:v>1.115</x:v>
      </x:c>
      <x:c r="D9" s="69" t="str">
        <x:v>USD/EUR</x:v>
      </x:c>
      <x:c r="E9" s="165" t="str">
        <x:v>Derived / Stage 4</x:v>
      </x:c>
      <x:c r="F9" s="165" t="str">
        <x:v>Set equal to live S0_in per scenario convention</x:v>
      </x:c>
      <x:c r="G9" s="165" t="str">
        <x:v>Retrieved 2026-10-27 19:50 HST; at-the-money put strike = 1.1150</x:v>
      </x:c>
    </x:row>
    <x:row r="10">
      <x:c r="A10" s="47" t="str">
        <x:v>K_CALL</x:v>
      </x:c>
      <x:c r="B10" s="48" t="str">
        <x:v>EUR call strike</x:v>
      </x:c>
      <x:c r="C10" s="100" t="n">
        <x:v>1.115</x:v>
      </x:c>
      <x:c r="D10" s="69" t="str">
        <x:v>USD/EUR</x:v>
      </x:c>
      <x:c r="E10" s="165" t="str">
        <x:v>Derived / Stage 4</x:v>
      </x:c>
      <x:c r="F10" s="165" t="str">
        <x:v>Set equal to live S0_in per scenario convention</x:v>
      </x:c>
      <x:c r="G10" s="165" t="str">
        <x:v>Retrieved 2026-10-27 19:50 HST; at-the-money call strike = 1.1150</x:v>
      </x:c>
    </x:row>
    <x:row r="11">
      <x:c r="A11" s="47" t="str">
        <x:v>PREM_PUT</x:v>
      </x:c>
      <x:c r="B11" s="48" t="str">
        <x:v>Put premium per EUR</x:v>
      </x:c>
      <x:c r="C11" s="100" t="n">
        <x:v>0.0245</x:v>
      </x:c>
      <x:c r="D11" s="69" t="str">
        <x:v>USD/EUR</x:v>
      </x:c>
      <x:c r="E11" s="87" t="str">
        <x:v>Scenario / retained</x:v>
      </x:c>
      <x:c r="F11" s="87" t="str">
        <x:v>Scenario 6</x:v>
      </x:c>
      <x:c r="G11" s="88" t="str">
        <x:v>PREM_PUT retained at 0.0245 USD/EUR per Stage 4 instructions</x:v>
      </x:c>
    </x:row>
    <x:row r="12">
      <x:c r="A12" s="47" t="str">
        <x:v>PREM_CALL</x:v>
      </x:c>
      <x:c r="B12" s="48" t="str">
        <x:v>Call premium per EUR</x:v>
      </x:c>
      <x:c r="C12" s="100" t="n">
        <x:v>0.0448</x:v>
      </x:c>
      <x:c r="D12" s="69" t="str">
        <x:v>USD/EUR</x:v>
      </x:c>
      <x:c r="E12" s="87" t="str">
        <x:v>Scenario / retained</x:v>
      </x:c>
      <x:c r="F12" s="87" t="str">
        <x:v>Scenario 6</x:v>
      </x:c>
      <x:c r="G12" s="88" t="str">
        <x:v>PREM_CALL retained at 0.0448 USD/EUR per Stage 4 instructions</x:v>
      </x:c>
    </x:row>
    <x:row r="13">
      <x:c r="A13" s="49" t="str">
        <x:v>T_DAYS</x:v>
      </x:c>
      <x:c r="B13" s="50" t="str">
        <x:v>Days to settlement</x:v>
      </x:c>
      <x:c r="C13" s="104" t="n">
        <x:v>365</x:v>
      </x:c>
      <x:c r="D13" s="74" t="str">
        <x:v>Days</x:v>
      </x:c>
      <x:c r="E13" s="90" t="str">
        <x:v>Scenario / fixed</x:v>
      </x:c>
      <x:c r="F13" s="90" t="str">
        <x:v>Scenario 6</x:v>
      </x:c>
      <x:c r="G13" s="91" t="str">
        <x:v>T_DAYS remains 365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0" hidden="0" customWidth="1"/>
  </x:cols>
  <x:sheetData>
    <x:row r="1" ht="28" customHeight="1">
      <x:c r="A1" s="5" t="str">
        <x:v>Forward Hedge</x:v>
      </x:c>
      <x:c r="B1" s="5"/>
      <x:c r="C1" s="5"/>
      <x:c r="D1" s="5"/>
      <x:c r="E1" s="5"/>
      <x:c r="F1" s="5"/>
    </x:row>
    <x:row r="3">
      <x:c r="A3" s="44" t="str">
        <x:v>Item</x:v>
      </x:c>
      <x:c r="B3" s="45" t="str">
        <x:v>Formula / Description</x:v>
      </x:c>
      <x:c r="C3" s="46" t="str">
        <x:v>Result</x:v>
      </x:c>
    </x:row>
    <x:row r="4">
      <x:c r="A4" s="110" t="str">
        <x:v>Locked USD proceeds</x:v>
      </x:c>
      <x:c r="B4" s="69" t="str">
        <x:v>FC_AMT × F0_in</x:v>
      </x:c>
      <x:c r="C4" s="111" t="n">
        <x:f>FC_AMT*F0_in</x:f>
        <x:v>4868617.318303887</x:v>
      </x:c>
    </x:row>
    <x:row r="5">
      <x:c r="A5" s="112" t="str">
        <x:v>Interpretation</x:v>
      </x:c>
      <x:c r="B5" s="90" t="str">
        <x:v>Locks the USD value of the EUR receivable at the forward rate.</x:v>
      </x:c>
      <x:c r="C5" s="91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50" hidden="0" customWidth="1"/>
    <x:col min="4" max="4" width="22" hidden="0" customWidth="1"/>
  </x:cols>
  <x:sheetData>
    <x:row r="1" ht="28" customHeight="1">
      <x:c r="A1" s="5" t="str">
        <x:v>Money-Market Hedge — Three Explicit Steps</x:v>
      </x:c>
      <x:c r="B1" s="5"/>
      <x:c r="C1" s="5"/>
      <x:c r="D1" s="5"/>
      <x:c r="E1" s="5"/>
      <x:c r="F1" s="5"/>
    </x:row>
    <x:row r="3">
      <x:c r="A3" s="44" t="str">
        <x:v>Step</x:v>
      </x:c>
      <x:c r="B3" s="45" t="str">
        <x:v>Calculation</x:v>
      </x:c>
      <x:c r="C3" s="45" t="str">
        <x:v>Named formula</x:v>
      </x:c>
      <x:c r="D3" s="46" t="str">
        <x:v>Result</x:v>
      </x:c>
    </x:row>
    <x:row r="4">
      <x:c r="A4" s="110" t="str">
        <x:v>1</x:v>
      </x:c>
      <x:c r="B4" s="69" t="str">
        <x:v>Borrow EUR today so the receivable exactly repays the loan</x:v>
      </x:c>
      <x:c r="C4" s="69" t="str">
        <x:v>FC_AMT / (1 + R_FC × T_DAYS/360)</x:v>
      </x:c>
      <x:c r="D4" s="122" t="n">
        <x:f>FC_AMT/(1+R_FC*T_DAYS/360)</x:f>
        <x:v>4175945.4213644927</x:v>
      </x:c>
    </x:row>
    <x:row r="5">
      <x:c r="A5" s="110" t="str">
        <x:v>2</x:v>
      </x:c>
      <x:c r="B5" s="69" t="str">
        <x:v>Convert borrowed EUR into USD at inception spot</x:v>
      </x:c>
      <x:c r="C5" s="69" t="str">
        <x:v>MM_BORROW_FC × S0_in</x:v>
      </x:c>
      <x:c r="D5" s="123" t="n">
        <x:f>MM_BORROW_FC*S0_in</x:f>
        <x:v>4656179.144821409</x:v>
      </x:c>
    </x:row>
    <x:row r="6">
      <x:c r="A6" s="110" t="str">
        <x:v>3</x:v>
      </x:c>
      <x:c r="B6" s="69" t="str">
        <x:v>Invest USD until settlement</x:v>
      </x:c>
      <x:c r="C6" s="69" t="str">
        <x:v>MM_USD_NOW × (1 + R_USD × T_DAYS/360)</x:v>
      </x:c>
      <x:c r="D6" s="123" t="n">
        <x:f>MM_USD_NOW*(1+R_USD*T_DAYS/360)</x:f>
        <x:v>4868617.318303886</x:v>
      </x:c>
    </x:row>
    <x:row r="7">
      <x:c r="A7" s="112" t="str">
        <x:v>Parity</x:v>
      </x:c>
      <x:c r="B7" s="74" t="str">
        <x:v>Implied forward from covered interest parity</x:v>
      </x:c>
      <x:c r="C7" s="74" t="str">
        <x:v>S0_in × (1 + R_USD × T_DAYS/360) / (1 + R_FC × T_DAYS/360)</x:v>
      </x:c>
      <x:c r="D7" s="124" t="n">
        <x:f>S0_in*(1+R_USD*T_DAYS/360)/(1+R_FC*T_DAYS/360)</x:f>
        <x:v>1.1322365856520666</x:v>
      </x:c>
    </x:row>
    <x:row r="9">
      <x:c r="A9" s="31" t="str">
        <x:v>Parity Validation</x:v>
      </x:c>
      <x:c r="B9" s="31"/>
      <x:c r="C9" s="31"/>
      <x:c r="D9" s="31"/>
    </x:row>
    <x:row r="10">
      <x:c r="A10" s="44" t="str">
        <x:v>Check</x:v>
      </x:c>
      <x:c r="B10" s="45" t="str">
        <x:v>Formula</x:v>
      </x:c>
      <x:c r="C10" s="45" t="str">
        <x:v>Tolerance / Expectation</x:v>
      </x:c>
      <x:c r="D10" s="46" t="str">
        <x:v>Result</x:v>
      </x:c>
    </x:row>
    <x:row r="11">
      <x:c r="A11" s="110" t="str">
        <x:v>Quoted vs implied forward gap</x:v>
      </x:c>
      <x:c r="B11" s="69" t="str">
        <x:v>F_IMPLIED - F0_in</x:v>
      </x:c>
      <x:c r="C11" s="69" t="str">
        <x:v>ABS(gap) &lt;= 0.00005 USD/EUR</x:v>
      </x:c>
      <x:c r="D11" s="132" t="n">
        <x:f>F_IMPLIED-F0_in</x:f>
        <x:v>0</x:v>
      </x:c>
    </x:row>
    <x:row r="12">
      <x:c r="A12" s="110" t="str">
        <x:v>Money-market vs forward proceeds gap</x:v>
      </x:c>
      <x:c r="B12" s="69" t="str">
        <x:v>MM_PROCEEDS - FWD_PROCEEDS</x:v>
      </x:c>
      <x:c r="C12" s="69" t="str">
        <x:v>Approx. -$2.05 using Stage 2 placeholders</x:v>
      </x:c>
      <x:c r="D12" s="133" t="n">
        <x:f>MM_PROCEEDS-FWD_PROCEEDS</x:f>
        <x:v>-9.313225746154785e-10</x:v>
      </x:c>
    </x:row>
    <x:row r="13">
      <x:c r="A13" s="112" t="str">
        <x:v>Parity status</x:v>
      </x:c>
      <x:c r="B13" s="74" t="str">
        <x:v>PASS when ABS(PARITY_GAP) &lt;= 0.00005</x:v>
      </x:c>
      <x:c r="C13" s="74" t="str">
        <x:v>PASS</x:v>
      </x:c>
      <x:c r="D13" s="134" t="str">
        <x:f>IF(ABS(PARITY_GAP)&lt;=0.00005,"PASS","FLAG")</x:f>
        <x:v>PASS</x:v>
      </x:c>
    </x:row>
  </x:sheetData>
  <x:mergeCells>
    <x:mergeCell ref="A1:F1"/>
    <x:mergeCell ref="A9:D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50" hidden="0" customWidth="1"/>
    <x:col min="4" max="4" width="22" hidden="0" customWidth="1"/>
  </x:cols>
  <x:sheetData>
    <x:row r="1" ht="28" customHeight="1">
      <x:c r="A1" s="5" t="str">
        <x:v>Options — Put Floor and Call Comparison</x:v>
      </x:c>
      <x:c r="B1" s="5"/>
      <x:c r="C1" s="5"/>
      <x:c r="D1" s="5"/>
      <x:c r="E1" s="5"/>
      <x:c r="F1" s="5"/>
    </x:row>
    <x:row r="3">
      <x:c r="A3" s="44" t="str">
        <x:v>Item</x:v>
      </x:c>
      <x:c r="B3" s="45" t="str">
        <x:v>Purpose</x:v>
      </x:c>
      <x:c r="C3" s="45" t="str">
        <x:v>Formula</x:v>
      </x:c>
      <x:c r="D3" s="46" t="str">
        <x:v>Result</x:v>
      </x:c>
    </x:row>
    <x:row r="4">
      <x:c r="A4" s="110" t="str">
        <x:v>Put premium cost</x:v>
      </x:c>
      <x:c r="B4" s="48" t="str">
        <x:v>Total USD premium for the EUR put</x:v>
      </x:c>
      <x:c r="C4" s="48" t="str">
        <x:v>FC_AMT × PREM_PUT</x:v>
      </x:c>
      <x:c r="D4" s="133" t="n">
        <x:f>FC_AMT*PREM_PUT</x:f>
        <x:v>105350</x:v>
      </x:c>
    </x:row>
    <x:row r="5">
      <x:c r="A5" s="110" t="str">
        <x:v>Call premium cost</x:v>
      </x:c>
      <x:c r="B5" s="48" t="str">
        <x:v>Total USD premium for the EUR call</x:v>
      </x:c>
      <x:c r="C5" s="48" t="str">
        <x:v>FC_AMT × PREM_CALL</x:v>
      </x:c>
      <x:c r="D5" s="133" t="n">
        <x:f>FC_AMT*PREM_CALL</x:f>
        <x:v>192640</x:v>
      </x:c>
    </x:row>
    <x:row r="6">
      <x:c r="A6" s="110" t="str">
        <x:v>Put floor</x:v>
      </x:c>
      <x:c r="B6" s="48" t="str">
        <x:v>Minimum net USD proceeds when S_T is below strike</x:v>
      </x:c>
      <x:c r="C6" s="48" t="str">
        <x:v>FC_AMT × K_PUT − PUT_PREM_TOTAL</x:v>
      </x:c>
      <x:c r="D6" s="133" t="n">
        <x:f>FC_AMT*K_PUT-PUT_PREM_TOTAL</x:f>
        <x:v>4689150</x:v>
      </x:c>
    </x:row>
    <x:row r="7">
      <x:c r="A7" s="110" t="str">
        <x:v>Put net proceeds at S_T = S0_in</x:v>
      </x:c>
      <x:c r="B7" s="48" t="str">
        <x:v>Illustrative point; full S_T function is on Sensitivity</x:v>
      </x:c>
      <x:c r="C7" s="48" t="str">
        <x:v>FC_AMT × MAX(S0_in, K_PUT) − PUT_PREM_TOTAL</x:v>
      </x:c>
      <x:c r="D7" s="133" t="n">
        <x:f>FC_AMT*MAX(S0_in,K_PUT)-PUT_PREM_TOTAL</x:f>
        <x:v>4689150</x:v>
      </x:c>
    </x:row>
    <x:row r="8">
      <x:c r="A8" s="112" t="str">
        <x:v>Call protected cost at S_T = S0_in</x:v>
      </x:c>
      <x:c r="B8" s="50" t="str">
        <x:v>Comparison for reversed EUR payable</x:v>
      </x:c>
      <x:c r="C8" s="50" t="str">
        <x:v>FC_AMT × MIN(S0_in, K_CALL) + CALL_PREM_TOTAL</x:v>
      </x:c>
      <x:c r="D8" s="138" t="n">
        <x:f>FC_AMT*MIN(S0_in,K_CALL)+CALL_PREM_TOTAL</x:f>
        <x:v>4987140</x:v>
      </x:c>
    </x:row>
    <x:row r="10">
      <x:c r="A10" s="84" t="str">
        <x:v>For the EUR receivable, the put is the protective option. The call is retained as the required comparison for the reversed EUR-payable exposure. Both vary with S_T in the Sensitivity table.</x:v>
      </x:c>
      <x:c r="B10" s="84"/>
      <x:c r="C10" s="84"/>
      <x:c r="D10" s="84"/>
      <x:c r="E10" s="84"/>
      <x:c r="F10" s="84"/>
    </x:row>
    <x:row r="11">
      <x:c r="A11" s="84"/>
      <x:c r="B11" s="84"/>
      <x:c r="C11" s="84"/>
      <x:c r="D11" s="84"/>
      <x:c r="E11" s="84"/>
      <x:c r="F11" s="84"/>
    </x:row>
  </x:sheetData>
  <x:mergeCells>
    <x:mergeCell ref="A1:F1"/>
    <x:mergeCell ref="A10:F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5" t="str">
        <x:v>Sensitivity — Settlement EURUSD ±5% in 1% Steps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84" t="str">
        <x:v>Eleven formula-driven S_T scenarios from 0.95×S0_in through 1.05×S0_in. The chart includes the EUR-receivable strategies; the call column is the reversed-payable comparison.</x:v>
      </x:c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84"/>
      <x:c r="B4" s="84"/>
      <x:c r="C4" s="84"/>
      <x:c r="D4" s="84"/>
      <x:c r="E4" s="84"/>
      <x:c r="F4" s="84"/>
      <x:c r="G4" s="84"/>
      <x:c r="H4" s="84"/>
      <x:c r="I4" s="84"/>
      <x:c r="J4" s="84"/>
    </x:row>
    <x:row r="6">
      <x:c r="A6" s="44" t="str">
        <x:v>Change vs S0</x:v>
      </x:c>
      <x:c r="B6" s="45" t="str">
        <x:v>S_T (USD/EUR)</x:v>
      </x:c>
      <x:c r="C6" s="45" t="str">
        <x:v>Unhedged Proceeds (USD)</x:v>
      </x:c>
      <x:c r="D6" s="45" t="str">
        <x:v>Forward Proceeds (USD)</x:v>
      </x:c>
      <x:c r="E6" s="45" t="str">
        <x:v>Money-Market Proceeds (USD)</x:v>
      </x:c>
      <x:c r="F6" s="45" t="str">
        <x:v>Put Net Proceeds (USD)</x:v>
      </x:c>
      <x:c r="G6" s="46" t="str">
        <x:v>Call Protected Cost (USD)</x:v>
      </x:c>
    </x:row>
    <x:row r="7">
      <x:c r="A7" s="142" t="n">
        <x:f>-5%</x:f>
        <x:v>-0.05</x:v>
      </x:c>
      <x:c r="B7" s="143" t="n">
        <x:f>S0_in*(1+A7)</x:f>
        <x:v>1.05925</x:v>
      </x:c>
      <x:c r="C7" s="144" t="n">
        <x:f>FC_AMT*B7</x:f>
        <x:v>4554775</x:v>
      </x:c>
      <x:c r="D7" s="144" t="n">
        <x:f>FWD_PROCEEDS</x:f>
        <x:v>4868617.318303887</x:v>
      </x:c>
      <x:c r="E7" s="144" t="n">
        <x:f>MM_PROCEEDS</x:f>
        <x:v>4868617.318303886</x:v>
      </x:c>
      <x:c r="F7" s="144" t="n">
        <x:f>FC_AMT*MAX(B7,K_PUT)-PUT_PREM_TOTAL</x:f>
        <x:v>4689150</x:v>
      </x:c>
      <x:c r="G7" s="123" t="n">
        <x:f>FC_AMT*MIN(B7,K_CALL)+CALL_PREM_TOTAL</x:f>
        <x:v>4747415</x:v>
      </x:c>
    </x:row>
    <x:row r="8">
      <x:c r="A8" s="142" t="n">
        <x:f>A7+1%</x:f>
        <x:v>-0.04</x:v>
      </x:c>
      <x:c r="B8" s="143" t="n">
        <x:f>S0_in*(1+A8)</x:f>
        <x:v>1.0704</x:v>
      </x:c>
      <x:c r="C8" s="144" t="n">
        <x:f>FC_AMT*B8</x:f>
        <x:v>4602720</x:v>
      </x:c>
      <x:c r="D8" s="144" t="n">
        <x:f>FWD_PROCEEDS</x:f>
        <x:v>4868617.318303887</x:v>
      </x:c>
      <x:c r="E8" s="144" t="n">
        <x:f>MM_PROCEEDS</x:f>
        <x:v>4868617.318303886</x:v>
      </x:c>
      <x:c r="F8" s="144" t="n">
        <x:f>FC_AMT*MAX(B8,K_PUT)-PUT_PREM_TOTAL</x:f>
        <x:v>4689150</x:v>
      </x:c>
      <x:c r="G8" s="123" t="n">
        <x:f>FC_AMT*MIN(B8,K_CALL)+CALL_PREM_TOTAL</x:f>
        <x:v>4795360</x:v>
      </x:c>
    </x:row>
    <x:row r="9">
      <x:c r="A9" s="142" t="n">
        <x:f>A8+1%</x:f>
        <x:v>-0.03</x:v>
      </x:c>
      <x:c r="B9" s="143" t="n">
        <x:f>S0_in*(1+A9)</x:f>
        <x:v>1.08155</x:v>
      </x:c>
      <x:c r="C9" s="144" t="n">
        <x:f>FC_AMT*B9</x:f>
        <x:v>4650665</x:v>
      </x:c>
      <x:c r="D9" s="144" t="n">
        <x:f>FWD_PROCEEDS</x:f>
        <x:v>4868617.318303887</x:v>
      </x:c>
      <x:c r="E9" s="144" t="n">
        <x:f>MM_PROCEEDS</x:f>
        <x:v>4868617.318303886</x:v>
      </x:c>
      <x:c r="F9" s="144" t="n">
        <x:f>FC_AMT*MAX(B9,K_PUT)-PUT_PREM_TOTAL</x:f>
        <x:v>4689150</x:v>
      </x:c>
      <x:c r="G9" s="123" t="n">
        <x:f>FC_AMT*MIN(B9,K_CALL)+CALL_PREM_TOTAL</x:f>
        <x:v>4843305</x:v>
      </x:c>
    </x:row>
    <x:row r="10">
      <x:c r="A10" s="142" t="n">
        <x:f>A9+1%</x:f>
        <x:v>-0.019999999999999997</x:v>
      </x:c>
      <x:c r="B10" s="143" t="n">
        <x:f>S0_in*(1+A10)</x:f>
        <x:v>1.0927</x:v>
      </x:c>
      <x:c r="C10" s="144" t="n">
        <x:f>FC_AMT*B10</x:f>
        <x:v>4698610</x:v>
      </x:c>
      <x:c r="D10" s="144" t="n">
        <x:f>FWD_PROCEEDS</x:f>
        <x:v>4868617.318303887</x:v>
      </x:c>
      <x:c r="E10" s="144" t="n">
        <x:f>MM_PROCEEDS</x:f>
        <x:v>4868617.318303886</x:v>
      </x:c>
      <x:c r="F10" s="144" t="n">
        <x:f>FC_AMT*MAX(B10,K_PUT)-PUT_PREM_TOTAL</x:f>
        <x:v>4689150</x:v>
      </x:c>
      <x:c r="G10" s="123" t="n">
        <x:f>FC_AMT*MIN(B10,K_CALL)+CALL_PREM_TOTAL</x:f>
        <x:v>4891250</x:v>
      </x:c>
    </x:row>
    <x:row r="11">
      <x:c r="A11" s="142" t="n">
        <x:f>A10+1%</x:f>
        <x:v>-0.009999999999999997</x:v>
      </x:c>
      <x:c r="B11" s="143" t="n">
        <x:f>S0_in*(1+A11)</x:f>
        <x:v>1.10385</x:v>
      </x:c>
      <x:c r="C11" s="144" t="n">
        <x:f>FC_AMT*B11</x:f>
        <x:v>4746555</x:v>
      </x:c>
      <x:c r="D11" s="144" t="n">
        <x:f>FWD_PROCEEDS</x:f>
        <x:v>4868617.318303887</x:v>
      </x:c>
      <x:c r="E11" s="144" t="n">
        <x:f>MM_PROCEEDS</x:f>
        <x:v>4868617.318303886</x:v>
      </x:c>
      <x:c r="F11" s="144" t="n">
        <x:f>FC_AMT*MAX(B11,K_PUT)-PUT_PREM_TOTAL</x:f>
        <x:v>4689150</x:v>
      </x:c>
      <x:c r="G11" s="123" t="n">
        <x:f>FC_AMT*MIN(B11,K_CALL)+CALL_PREM_TOTAL</x:f>
        <x:v>4939195</x:v>
      </x:c>
    </x:row>
    <x:row r="12">
      <x:c r="A12" s="142" t="n">
        <x:f>A11+1%</x:f>
        <x:v>3.469446951953614e-18</x:v>
      </x:c>
      <x:c r="B12" s="143" t="n">
        <x:f>S0_in*(1+A12)</x:f>
        <x:v>1.115</x:v>
      </x:c>
      <x:c r="C12" s="144" t="n">
        <x:f>FC_AMT*B12</x:f>
        <x:v>4794500</x:v>
      </x:c>
      <x:c r="D12" s="144" t="n">
        <x:f>FWD_PROCEEDS</x:f>
        <x:v>4868617.318303887</x:v>
      </x:c>
      <x:c r="E12" s="144" t="n">
        <x:f>MM_PROCEEDS</x:f>
        <x:v>4868617.318303886</x:v>
      </x:c>
      <x:c r="F12" s="144" t="n">
        <x:f>FC_AMT*MAX(B12,K_PUT)-PUT_PREM_TOTAL</x:f>
        <x:v>4689150</x:v>
      </x:c>
      <x:c r="G12" s="123" t="n">
        <x:f>FC_AMT*MIN(B12,K_CALL)+CALL_PREM_TOTAL</x:f>
        <x:v>4987140</x:v>
      </x:c>
    </x:row>
    <x:row r="13">
      <x:c r="A13" s="142" t="n">
        <x:f>A12+1%</x:f>
        <x:v>0.010000000000000004</x:v>
      </x:c>
      <x:c r="B13" s="143" t="n">
        <x:f>S0_in*(1+A13)</x:f>
        <x:v>1.12615</x:v>
      </x:c>
      <x:c r="C13" s="144" t="n">
        <x:f>FC_AMT*B13</x:f>
        <x:v>4842445</x:v>
      </x:c>
      <x:c r="D13" s="144" t="n">
        <x:f>FWD_PROCEEDS</x:f>
        <x:v>4868617.318303887</x:v>
      </x:c>
      <x:c r="E13" s="144" t="n">
        <x:f>MM_PROCEEDS</x:f>
        <x:v>4868617.318303886</x:v>
      </x:c>
      <x:c r="F13" s="144" t="n">
        <x:f>FC_AMT*MAX(B13,K_PUT)-PUT_PREM_TOTAL</x:f>
        <x:v>4737095</x:v>
      </x:c>
      <x:c r="G13" s="123" t="n">
        <x:f>FC_AMT*MIN(B13,K_CALL)+CALL_PREM_TOTAL</x:f>
        <x:v>4987140</x:v>
      </x:c>
    </x:row>
    <x:row r="14">
      <x:c r="A14" s="142" t="n">
        <x:f>A13+1%</x:f>
        <x:v>0.020000000000000004</x:v>
      </x:c>
      <x:c r="B14" s="143" t="n">
        <x:f>S0_in*(1+A14)</x:f>
        <x:v>1.1373</x:v>
      </x:c>
      <x:c r="C14" s="144" t="n">
        <x:f>FC_AMT*B14</x:f>
        <x:v>4890390</x:v>
      </x:c>
      <x:c r="D14" s="144" t="n">
        <x:f>FWD_PROCEEDS</x:f>
        <x:v>4868617.318303887</x:v>
      </x:c>
      <x:c r="E14" s="144" t="n">
        <x:f>MM_PROCEEDS</x:f>
        <x:v>4868617.318303886</x:v>
      </x:c>
      <x:c r="F14" s="144" t="n">
        <x:f>FC_AMT*MAX(B14,K_PUT)-PUT_PREM_TOTAL</x:f>
        <x:v>4785040</x:v>
      </x:c>
      <x:c r="G14" s="123" t="n">
        <x:f>FC_AMT*MIN(B14,K_CALL)+CALL_PREM_TOTAL</x:f>
        <x:v>4987140</x:v>
      </x:c>
    </x:row>
    <x:row r="15">
      <x:c r="A15" s="142" t="n">
        <x:f>A14+1%</x:f>
        <x:v>0.030000000000000006</x:v>
      </x:c>
      <x:c r="B15" s="143" t="n">
        <x:f>S0_in*(1+A15)</x:f>
        <x:v>1.14845</x:v>
      </x:c>
      <x:c r="C15" s="144" t="n">
        <x:f>FC_AMT*B15</x:f>
        <x:v>4938335</x:v>
      </x:c>
      <x:c r="D15" s="144" t="n">
        <x:f>FWD_PROCEEDS</x:f>
        <x:v>4868617.318303887</x:v>
      </x:c>
      <x:c r="E15" s="144" t="n">
        <x:f>MM_PROCEEDS</x:f>
        <x:v>4868617.318303886</x:v>
      </x:c>
      <x:c r="F15" s="144" t="n">
        <x:f>FC_AMT*MAX(B15,K_PUT)-PUT_PREM_TOTAL</x:f>
        <x:v>4832985</x:v>
      </x:c>
      <x:c r="G15" s="123" t="n">
        <x:f>FC_AMT*MIN(B15,K_CALL)+CALL_PREM_TOTAL</x:f>
        <x:v>4987140</x:v>
      </x:c>
    </x:row>
    <x:row r="16">
      <x:c r="A16" s="142" t="n">
        <x:f>A15+1%</x:f>
        <x:v>0.04000000000000001</x:v>
      </x:c>
      <x:c r="B16" s="143" t="n">
        <x:f>S0_in*(1+A16)</x:f>
        <x:v>1.1596</x:v>
      </x:c>
      <x:c r="C16" s="144" t="n">
        <x:f>FC_AMT*B16</x:f>
        <x:v>4986280</x:v>
      </x:c>
      <x:c r="D16" s="144" t="n">
        <x:f>FWD_PROCEEDS</x:f>
        <x:v>4868617.318303887</x:v>
      </x:c>
      <x:c r="E16" s="144" t="n">
        <x:f>MM_PROCEEDS</x:f>
        <x:v>4868617.318303886</x:v>
      </x:c>
      <x:c r="F16" s="144" t="n">
        <x:f>FC_AMT*MAX(B16,K_PUT)-PUT_PREM_TOTAL</x:f>
        <x:v>4880930</x:v>
      </x:c>
      <x:c r="G16" s="123" t="n">
        <x:f>FC_AMT*MIN(B16,K_CALL)+CALL_PREM_TOTAL</x:f>
        <x:v>4987140</x:v>
      </x:c>
    </x:row>
    <x:row r="17">
      <x:c r="A17" s="145" t="n">
        <x:f>A16+1%</x:f>
        <x:v>0.05000000000000001</x:v>
      </x:c>
      <x:c r="B17" s="146" t="n">
        <x:f>S0_in*(1+A17)</x:f>
        <x:v>1.17075</x:v>
      </x:c>
      <x:c r="C17" s="147" t="n">
        <x:f>FC_AMT*B17</x:f>
        <x:v>5034225</x:v>
      </x:c>
      <x:c r="D17" s="147" t="n">
        <x:f>FWD_PROCEEDS</x:f>
        <x:v>4868617.318303887</x:v>
      </x:c>
      <x:c r="E17" s="147" t="n">
        <x:f>MM_PROCEEDS</x:f>
        <x:v>4868617.318303886</x:v>
      </x:c>
      <x:c r="F17" s="147" t="n">
        <x:f>FC_AMT*MAX(B17,K_PUT)-PUT_PREM_TOTAL</x:f>
        <x:v>4928875</x:v>
      </x:c>
      <x:c r="G17" s="148" t="n">
        <x:f>FC_AMT*MIN(B17,K_CALL)+CALL_PREM_TOTAL</x:f>
        <x:v>4987140</x:v>
      </x:c>
    </x:row>
  </x:sheetData>
  <x:mergeCells>
    <x:mergeCell ref="A1:J1"/>
    <x:mergeCell ref="A3:J4"/>
  </x:mergeCells>
  <x:pageMargins left="0.7" right="0.7" top="0.75" bottom="0.75" header="0.3" footer="0.3"/>
  <x:drawing xmlns:r="http://schemas.openxmlformats.org/officeDocument/2006/relationships" r:id="Rc2fdeb80ee4c4a9e"/>
  <x:tableParts count="1">
    <x:tablePart xmlns:r="http://schemas.openxmlformats.org/officeDocument/2006/relationships" r:id="R48632e7c7084494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54" hidden="0" customWidth="1"/>
    <x:col min="4" max="4" width="8" hidden="0" customWidth="1"/>
    <x:col min="5" max="5" width="34" hidden="0" customWidth="1"/>
    <x:col min="6" max="6" width="32" hidden="0" customWidth="1"/>
    <x:col min="7" max="7" width="14" hidden="0" customWidth="1"/>
  </x:cols>
  <x:sheetData>
    <x:row r="1" ht="28" customHeight="1">
      <x:c r="A1" s="5" t="str">
        <x:v>Notes, Assumptions &amp; Validation Checks</x:v>
      </x:c>
      <x:c r="B1" s="5"/>
      <x:c r="C1" s="5"/>
      <x:c r="D1" s="5"/>
      <x:c r="E1" s="5"/>
      <x:c r="F1" s="5"/>
      <x:c r="G1" s="5"/>
    </x:row>
    <x:row r="3">
      <x:c r="A3" s="31" t="str">
        <x:v>Model Assumptions</x:v>
      </x:c>
      <x:c r="B3" s="31"/>
      <x:c r="D3" s="31" t="str">
        <x:v>Stage 3 Validation Checklist</x:v>
      </x:c>
      <x:c r="E3" s="31"/>
      <x:c r="F3" s="31"/>
      <x:c r="G3" s="31"/>
    </x:row>
    <x:row r="4">
      <x:c r="A4" s="44" t="str">
        <x:v>Assumption</x:v>
      </x:c>
      <x:c r="B4" s="46" t="str">
        <x:v>Specification</x:v>
      </x:c>
      <x:c r="D4" s="44" t="str">
        <x:v>#</x:v>
      </x:c>
      <x:c r="E4" s="45" t="str">
        <x:v>Validation</x:v>
      </x:c>
      <x:c r="F4" s="45" t="str">
        <x:v>Expectation</x:v>
      </x:c>
      <x:c r="G4" s="46" t="str">
        <x:v>Status</x:v>
      </x:c>
    </x:row>
    <x:row r="5">
      <x:c r="A5" s="71" t="str">
        <x:v>Interest convention</x:v>
      </x:c>
      <x:c r="B5" s="88" t="str">
        <x:v>Simple annual interest with ACT/360.</x:v>
      </x:c>
      <x:c r="D5" s="110" t="n">
        <x:v>1</x:v>
      </x:c>
      <x:c r="E5" s="69" t="str">
        <x:v>Forward proceeds formula check</x:v>
      </x:c>
      <x:c r="F5" s="69" t="str">
        <x:v>FWD_PROCEEDS = FC_AMT × F0_in</x:v>
      </x:c>
      <x:c r="G5" s="158" t="str">
        <x:f>IF(ABS(FWD_PROCEEDS-(FC_AMT*F0_in))&lt;0.01,"PASS","FLAG")</x:f>
        <x:v>PASS</x:v>
      </x:c>
    </x:row>
    <x:row r="6">
      <x:c r="A6" s="71" t="str">
        <x:v>Settlement</x:v>
      </x:c>
      <x:c r="B6" s="88" t="str">
        <x:v>T_DAYS remains exactly 365 days; ACT/360 applies only to interest accrual.</x:v>
      </x:c>
      <x:c r="D6" s="110" t="n">
        <x:v>2</x:v>
      </x:c>
      <x:c r="E6" s="69" t="str">
        <x:v>MM EUR borrowing formula check</x:v>
      </x:c>
      <x:c r="F6" s="69" t="str">
        <x:v>MM_BORROW_FC = FC_AMT / (1 + R_FC × T_DAYS/360)</x:v>
      </x:c>
      <x:c r="G6" s="158" t="str">
        <x:f>IF(ABS(MM_BORROW_FC-(FC_AMT/(1+R_FC*T_DAYS/360)))&lt;0.01,"PASS","FLAG")</x:f>
        <x:v>PASS</x:v>
      </x:c>
    </x:row>
    <x:row r="7">
      <x:c r="A7" s="71" t="str">
        <x:v>Exposure coverage</x:v>
      </x:c>
      <x:c r="B7" s="88" t="str">
        <x:v>100% of the EUR 4,300,000 receivable is modeled under each strategy.</x:v>
      </x:c>
      <x:c r="D7" s="110" t="n">
        <x:v>3</x:v>
      </x:c>
      <x:c r="E7" s="69" t="str">
        <x:v>MM USD-now formula check</x:v>
      </x:c>
      <x:c r="F7" s="69" t="str">
        <x:v>MM_USD_NOW = MM_BORROW_FC × S0_in</x:v>
      </x:c>
      <x:c r="G7" s="158" t="str">
        <x:f>IF(ABS(MM_USD_NOW-(MM_BORROW_FC*S0_in))&lt;0.01,"PASS","FLAG")</x:f>
        <x:v>PASS</x:v>
      </x:c>
    </x:row>
    <x:row r="8">
      <x:c r="A8" s="71" t="str">
        <x:v>Collection</x:v>
      </x:c>
      <x:c r="B8" s="88" t="str">
        <x:v>Receivable is collected in full on settlement and converted to USD.</x:v>
      </x:c>
      <x:c r="D8" s="110" t="n">
        <x:v>4</x:v>
      </x:c>
      <x:c r="E8" s="69" t="str">
        <x:v>MM settlement proceeds formula check</x:v>
      </x:c>
      <x:c r="F8" s="69" t="str">
        <x:v>MM_PROCEEDS = MM_USD_NOW × (1 + R_USD × T_DAYS/360)</x:v>
      </x:c>
      <x:c r="G8" s="158" t="str">
        <x:f>IF(ABS(MM_PROCEEDS-(MM_USD_NOW*(1+R_USD*T_DAYS/360)))&lt;0.01,"PASS","FLAG")</x:f>
        <x:v>PASS</x:v>
      </x:c>
    </x:row>
    <x:row r="9">
      <x:c r="A9" s="71" t="str">
        <x:v>Option strikes</x:v>
      </x:c>
      <x:c r="B9" s="88" t="str">
        <x:v>K_PUT and K_CALL initially equal S0_in; Stage 4 resets ATM strikes to live S0_in.</x:v>
      </x:c>
      <x:c r="D9" s="110" t="n">
        <x:v>5</x:v>
      </x:c>
      <x:c r="E9" s="69" t="str">
        <x:v>Implied forward formula check</x:v>
      </x:c>
      <x:c r="F9" s="69" t="str">
        <x:v>F_IMPLIED = CIP formula</x:v>
      </x:c>
      <x:c r="G9" s="158" t="str">
        <x:f>IF(ABS(F_IMPLIED-(S0_in*(1+R_USD*T_DAYS/360)/(1+R_FC*T_DAYS/360)))&lt;0.0000001,"PASS","FLAG")</x:f>
        <x:v>PASS</x:v>
      </x:c>
    </x:row>
    <x:row r="10">
      <x:c r="A10" s="71" t="str">
        <x:v>Option premium treatment</x:v>
      </x:c>
      <x:c r="B10" s="88" t="str">
        <x:v>Premiums are nominal USD hedge costs; not financed or compounded.</x:v>
      </x:c>
      <x:c r="D10" s="110" t="n">
        <x:v>6</x:v>
      </x:c>
      <x:c r="E10" s="69" t="str">
        <x:v>Quoted-vs-implied parity tolerance</x:v>
      </x:c>
      <x:c r="F10" s="69" t="str">
        <x:v>ABS(PARITY_GAP) &lt;= 0.00005</x:v>
      </x:c>
      <x:c r="G10" s="158" t="str">
        <x:f>IF(ABS(PARITY_GAP)&lt;=0.00005,"PASS","FLAG")</x:f>
        <x:v>PASS</x:v>
      </x:c>
    </x:row>
    <x:row r="11">
      <x:c r="A11" s="71" t="str">
        <x:v>Excluded items</x:v>
      </x:c>
      <x:c r="B11" s="88" t="str">
        <x:v>Transaction fees, bid-ask spreads, taxes, credit adjustments, collateral and margin are excluded.</x:v>
      </x:c>
      <x:c r="D11" s="110" t="n">
        <x:v>7</x:v>
      </x:c>
      <x:c r="E11" s="69" t="str">
        <x:v>Put premium total formula check</x:v>
      </x:c>
      <x:c r="F11" s="69" t="str">
        <x:v>PUT_PREM_TOTAL = FC_AMT × PREM_PUT</x:v>
      </x:c>
      <x:c r="G11" s="158" t="str">
        <x:f>IF(ABS(PUT_PREM_TOTAL-(FC_AMT*PREM_PUT))&lt;0.01,"PASS","FLAG")</x:f>
        <x:v>PASS</x:v>
      </x:c>
    </x:row>
    <x:row r="12">
      <x:c r="A12" s="71" t="str">
        <x:v>Parity expectation</x:v>
      </x:c>
      <x:c r="B12" s="88" t="str">
        <x:v>Forward and MM proceeds should be economically equivalent when covered interest parity holds.</x:v>
      </x:c>
      <x:c r="D12" s="110" t="n">
        <x:v>8</x:v>
      </x:c>
      <x:c r="E12" s="69" t="str">
        <x:v>Call premium total formula check</x:v>
      </x:c>
      <x:c r="F12" s="69" t="str">
        <x:v>CALL_PREM_TOTAL = FC_AMT × PREM_CALL</x:v>
      </x:c>
      <x:c r="G12" s="158" t="str">
        <x:f>IF(ABS(CALL_PREM_TOTAL-(FC_AMT*PREM_CALL))&lt;0.01,"PASS","FLAG")</x:f>
        <x:v>PASS</x:v>
      </x:c>
    </x:row>
    <x:row r="13">
      <x:c r="A13" s="156" t="str">
        <x:v>Call interpretation</x:v>
      </x:c>
      <x:c r="B13" s="91" t="str">
        <x:v>Call is for the reversed EUR-payable comparison, not the primary receivable hedge.</x:v>
      </x:c>
      <x:c r="D13" s="110" t="n">
        <x:v>9</x:v>
      </x:c>
      <x:c r="E13" s="69" t="str">
        <x:v>Sensitivity scenario count</x:v>
      </x:c>
      <x:c r="F13" s="69" t="str">
        <x:v>11 rows</x:v>
      </x:c>
      <x:c r="G13" s="158" t="str">
        <x:f>IF(ROWS(tblSensitivity[Change vs S0])=11,"PASS","FLAG")</x:f>
        <x:v>PASS</x:v>
      </x:c>
    </x:row>
    <x:row r="14">
      <x:c r="D14" s="110" t="n">
        <x:v>10</x:v>
      </x:c>
      <x:c r="E14" s="69" t="str">
        <x:v>Put downside floor formula check</x:v>
      </x:c>
      <x:c r="F14" s="69" t="str">
        <x:v>PUT_FLOOR = FC_AMT × K_PUT − PUT_PREM_TOTAL</x:v>
      </x:c>
      <x:c r="G14" s="158" t="str">
        <x:f>IF(ABS(PUT_FLOOR-(FC_AMT*K_PUT-PUT_PREM_TOTAL))&lt;0.01,"PASS","FLAG")</x:f>
        <x:v>PASS</x:v>
      </x:c>
    </x:row>
    <x:row r="15">
      <x:c r="D15" s="112" t="n">
        <x:v>11</x:v>
      </x:c>
      <x:c r="E15" s="74" t="str">
        <x:v>Overall live-data checks</x:v>
      </x:c>
      <x:c r="F15" s="74" t="str">
        <x:v>All above PASS</x:v>
      </x:c>
      <x:c r="G15" s="134" t="str">
        <x:f>IF(COUNTIF(G5:G14,"FLAG")=0,"PASS","FLAG")</x:f>
        <x:v>PASS</x:v>
      </x:c>
    </x:row>
    <x:row r="16">
      <x:c r="A16" s="31" t="str">
        <x:v>Build Contract Notes</x:v>
      </x:c>
      <x:c r="B16" s="31"/>
    </x:row>
    <x:row r="17">
      <x:c r="A17" s="44" t="str">
        <x:v>Item</x:v>
      </x:c>
      <x:c r="B17" s="46" t="str">
        <x:v>Implementation</x:v>
      </x:c>
      <x:c r="D17" t="str">
        <x:v>Stage 4 item</x:v>
      </x:c>
      <x:c r="E17" t="str">
        <x:v>Value / Treatment</x:v>
      </x:c>
      <x:c r="F17" t="str">
        <x:v>Source / Rationale</x:v>
      </x:c>
      <x:c r="G17" t="str">
        <x:v>Status</x:v>
      </x:c>
    </x:row>
    <x:row r="18">
      <x:c r="A18" s="47" t="str">
        <x:v>Named ranges</x:v>
      </x:c>
      <x:c r="B18" s="19" t="str">
        <x:v>Ten required input names plus named outputs are defined at workbook level.</x:v>
      </x:c>
      <x:c r="D18" t="str">
        <x:v>S0_in</x:v>
      </x:c>
      <x:c r="E18" t="str">
        <x:v>1.1150 USD/EUR</x:v>
      </x:c>
      <x:c r="F18" t="str">
        <x:v>ECB 2026-10-27 daily reference rate</x:v>
      </x:c>
      <x:c r="G18" t="str">
        <x:v>POPULATED</x:v>
      </x:c>
    </x:row>
    <x:row r="19">
      <x:c r="A19" s="47" t="str">
        <x:v>Calculated values</x:v>
      </x:c>
      <x:c r="B19" s="19" t="str">
        <x:v>Forward, MM, options, sensitivity and checks use formulas rather than pasted results.</x:v>
      </x:c>
      <x:c r="D19" t="str">
        <x:v>R_USD / R_FC</x:v>
      </x:c>
      <x:c r="E19" t="str">
        <x:v>4.50% / 2.930%</x:v>
      </x:c>
      <x:c r="F19" t="str">
        <x:v>1-year sovereign yields matched to 365-day exposure</x:v>
      </x:c>
      <x:c r="G19" t="str">
        <x:v>POPULATED</x:v>
      </x:c>
    </x:row>
    <x:row r="20">
      <x:c r="A20" s="47" t="str">
        <x:v>Sensitivity</x:v>
      </x:c>
      <x:c r="B20" s="19" t="str">
        <x:v>All 11 scenario rows are formula-driven; chart references formula-driven values.</x:v>
      </x:c>
      <x:c r="D20" t="str">
        <x:v>F0_in</x:v>
      </x:c>
      <x:c r="E20" t="str">
        <x:v>1.1322366 USD/EUR</x:v>
      </x:c>
      <x:c r="F20" t="str">
        <x:v>CIP-implied from live spot and same-date 1-year rates</x:v>
      </x:c>
      <x:c r="G20" t="str">
        <x:v>POPULATED</x:v>
      </x:c>
    </x:row>
    <x:row r="21">
      <x:c r="A21" s="49" t="str">
        <x:v>Stage 4</x:v>
      </x:c>
      <x:c r="B21" s="21" t="str">
        <x:v>Market placeholders are replaced and documented with source/date/timestamp.</x:v>
      </x:c>
      <x:c r="D21" t="str">
        <x:v>K_PUT / K_CALL</x:v>
      </x:c>
      <x:c r="E21" t="str">
        <x:v>1.1150 / 1.1150</x:v>
      </x:c>
      <x:c r="F21" t="str">
        <x:v>Set equal to live spot (ATM); scenario premiums retained</x:v>
      </x:c>
      <x:c r="G21" t="str">
        <x:v>POPULATED</x:v>
      </x:c>
    </x:row>
  </x:sheetData>
  <x:mergeCells>
    <x:mergeCell ref="A1:G1"/>
    <x:mergeCell ref="A3:B3"/>
    <x:mergeCell ref="D3:G3"/>
    <x:mergeCell ref="A16:B16"/>
  </x:mergeCells>
  <x:pageMargins left="0.7" right="0.7" top="0.75" bottom="0.75" header="0.3" footer="0.3"/>
</x:worksheet>
</file>