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7ef0e6ed834a1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Cover" sheetId="1" r:id="R008da05f680f46cc"/>
    <sheet name="Legend-Key" sheetId="2" r:id="Racf3fd7e5a024806"/>
    <sheet name="Inputs" sheetId="3" r:id="Ra63f4dce61ca40c8"/>
    <sheet name="Forward" sheetId="4" r:id="R8814d89f14fa4ba5"/>
    <sheet name="Money Market" sheetId="5" r:id="R72350d30bb034a93"/>
    <sheet name="Options" sheetId="6" r:id="Rb058d50e342a4c2b"/>
    <sheet name="Sensitivity" sheetId="7" r:id="R4ade1c37ce8e4f7b"/>
    <sheet name="Notes &amp; Assumptions" sheetId="8" r:id="R6f5d349fd0294f79"/>
  </sheets>
  <definedNames>
    <definedName name="FC_AMT">'Inputs'!$C$4</definedName>
    <definedName name="S0_in">'Inputs'!$C$5</definedName>
    <definedName name="F0_in">'Inputs'!$C$6</definedName>
    <definedName name="R_USD">'Inputs'!$C$7</definedName>
    <definedName name="R_FC">'Inputs'!$C$8</definedName>
    <definedName name="K_PUT">'Inputs'!$C$9</definedName>
    <definedName name="K_CALL">'Inputs'!$C$10</definedName>
    <definedName name="PREM_PUT">'Inputs'!$C$11</definedName>
    <definedName name="PREM_CALL">'Inputs'!$C$12</definedName>
    <definedName name="T_DAYS">'Inputs'!$C$13</definedName>
    <definedName name="FWD_PROCEEDS">'Forward'!$C$4</definedName>
    <definedName name="MM_BORROW_FC">'Money Market'!$D$4</definedName>
    <definedName name="MM_USD_NOW">'Money Market'!$D$5</definedName>
    <definedName name="MM_PROCEEDS">'Money Market'!$D$6</definedName>
    <definedName name="F_IMPLIED">'Money Market'!$D$7</definedName>
    <definedName name="PARITY_GAP">'Money Market'!$D$11</definedName>
    <definedName name="MM_FWD_GAP">'Money Market'!$D$12</definedName>
    <definedName name="PARITY_STATUS">'Money Market'!$D$13</definedName>
    <definedName name="PUT_PREM_TOTAL">'Options'!$D$4</definedName>
    <definedName name="CALL_PREM_TOTAL">'Options'!$D$5</definedName>
    <definedName name="PUT_FLOOR">'Options'!$D$6</definedName>
    <definedName name="CALL_PROTECTED_COST">'Options'!$D$8</definedName>
  </definedName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.0000"/>
    <x:numFmt numFmtId="202" formatCode="0.000%"/>
    <x:numFmt numFmtId="203" formatCode="0"/>
    <x:numFmt numFmtId="204" formatCode="$#,##0.00;[Red]($#,##0.00);-"/>
    <x:numFmt numFmtId="205" formatCode="€#,##0.00;[Red](€#,##0.00);-"/>
    <x:numFmt numFmtId="206" formatCode="0.000000"/>
    <x:numFmt numFmtId="207" formatCode="0%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i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1F2"/>
      </x:patternFill>
    </x:fill>
  </x:fills>
  <x:borders count="20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1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2" fillId="3" borderId="8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/>
    <x:xf numFmtId="0" fontId="0" fillId="0" borderId="11" xfId="0" applyNumberFormat="1" applyFont="1" applyFill="1" applyBorder="1" applyAlignment="1">
      <x:alignment wrapText="1"/>
    </x:xf>
    <x:xf numFmtId="0" fontId="2" fillId="3" borderId="12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14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3" fillId="2" borderId="17" xfId="0" applyNumberFormat="1" applyFont="1" applyFill="1" applyBorder="1" applyAlignment="1">
      <x:alignment horizontal="center" vertical="center" wrapText="1"/>
    </x:xf>
    <x:xf numFmtId="0" fontId="3" fillId="2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5" borderId="4" xfId="0" applyNumberFormat="1" applyFont="1" applyFill="1" applyBorder="1"/>
    <x:xf numFmtId="0" fontId="0" fillId="0" borderId="15" xfId="0" applyNumberFormat="1" applyFont="1" applyFill="1" applyBorder="1"/>
    <x:xf numFmtId="0" fontId="0" fillId="0" borderId="5" xfId="0" applyNumberFormat="1" applyFont="1" applyFill="1" applyBorder="1"/>
    <x:xf numFmtId="0" fontId="0" fillId="3" borderId="4" xfId="0" applyNumberFormat="1" applyFont="1" applyFill="1" applyBorder="1"/>
    <x:xf numFmtId="0" fontId="0" fillId="6" borderId="4" xfId="0" applyNumberFormat="1" applyFont="1" applyFill="1" applyBorder="1"/>
    <x:xf numFmtId="0" fontId="0" fillId="7" borderId="6" xfId="0" applyNumberFormat="1" applyFont="1" applyFill="1" applyBorder="1"/>
    <x:xf numFmtId="0" fontId="0" fillId="0" borderId="16" xfId="0" applyNumberFormat="1" applyFont="1" applyFill="1" applyBorder="1"/>
    <x:xf numFmtId="0" fontId="0" fillId="0" borderId="7" xfId="0" applyNumberFormat="1" applyFont="1" applyFill="1" applyBorder="1"/>
    <x:xf numFmtId="0" fontId="0" fillId="5" borderId="10" xfId="0" applyNumberFormat="1" applyFont="1" applyFill="1" applyBorder="1"/>
    <x:xf numFmtId="0" fontId="0" fillId="0" borderId="18" xfId="0" applyNumberFormat="1" applyFont="1" applyFill="1" applyBorder="1"/>
    <x:xf numFmtId="0" fontId="0" fillId="0" borderId="11" xfId="0" applyNumberFormat="1" applyFont="1" applyFill="1" applyBorder="1"/>
    <x:xf numFmtId="0" fontId="0" fillId="3" borderId="10" xfId="0" applyNumberFormat="1" applyFont="1" applyFill="1" applyBorder="1"/>
    <x:xf numFmtId="0" fontId="0" fillId="6" borderId="10" xfId="0" applyNumberFormat="1" applyFont="1" applyFill="1" applyBorder="1"/>
    <x:xf numFmtId="0" fontId="0" fillId="7" borderId="12" xfId="0" applyNumberFormat="1" applyFont="1" applyFill="1" applyBorder="1"/>
    <x:xf numFmtId="0" fontId="0" fillId="0" borderId="19" xfId="0" applyNumberFormat="1" applyFont="1" applyFill="1" applyBorder="1"/>
    <x:xf numFmtId="0" fontId="0" fillId="0" borderId="13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5" borderId="15" xfId="0" applyNumberFormat="1" applyFont="1" applyFill="1" applyBorder="1"/>
    <x:xf numFmtId="0" fontId="0" fillId="3" borderId="15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5" borderId="16" xfId="0" applyNumberFormat="1" applyFont="1" applyFill="1" applyBorder="1"/>
    <x:xf numFmtId="0" fontId="0" fillId="3" borderId="1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5" borderId="18" xfId="0" applyNumberFormat="1" applyFont="1" applyFill="1" applyBorder="1"/>
    <x:xf numFmtId="0" fontId="0" fillId="3" borderId="18" xfId="0" applyNumberFormat="1" applyFont="1" applyFill="1" applyBorder="1" applyAlignment="1">
      <x:alignment wrapText="1"/>
    </x:xf>
    <x:xf numFmtId="0" fontId="0" fillId="3" borderId="11" xfId="0" applyNumberFormat="1" applyFont="1" applyFill="1" applyBorder="1" applyAlignment="1">
      <x:alignment wrapText="1"/>
    </x:xf>
    <x:xf numFmtId="0" fontId="0" fillId="5" borderId="19" xfId="0" applyNumberFormat="1" applyFont="1" applyFill="1" applyBorder="1"/>
    <x:xf numFmtId="0" fontId="0" fillId="3" borderId="19" xfId="0" applyNumberFormat="1" applyFont="1" applyFill="1" applyBorder="1" applyAlignment="1">
      <x:alignment wrapText="1"/>
    </x:xf>
    <x:xf numFmtId="0" fontId="0" fillId="3" borderId="13" xfId="0" applyNumberFormat="1" applyFont="1" applyFill="1" applyBorder="1" applyAlignment="1">
      <x:alignment wrapText="1"/>
    </x:xf>
    <x:xf numFmtId="200" fontId="0" fillId="5" borderId="15" xfId="0" applyNumberFormat="1" applyFont="1" applyFill="1" applyBorder="1"/>
    <x:xf numFmtId="200" fontId="0" fillId="5" borderId="18" xfId="0" applyNumberFormat="1" applyFont="1" applyFill="1" applyBorder="1"/>
    <x:xf numFmtId="201" fontId="0" fillId="5" borderId="15" xfId="0" applyNumberFormat="1" applyFont="1" applyFill="1" applyBorder="1"/>
    <x:xf numFmtId="201" fontId="0" fillId="5" borderId="18" xfId="0" applyNumberFormat="1" applyFont="1" applyFill="1" applyBorder="1"/>
    <x:xf numFmtId="202" fontId="0" fillId="5" borderId="15" xfId="0" applyNumberFormat="1" applyFont="1" applyFill="1" applyBorder="1"/>
    <x:xf numFmtId="202" fontId="0" fillId="5" borderId="18" xfId="0" applyNumberFormat="1" applyFont="1" applyFill="1" applyBorder="1"/>
    <x:xf numFmtId="203" fontId="0" fillId="5" borderId="16" xfId="0" applyNumberFormat="1" applyFont="1" applyFill="1" applyBorder="1"/>
    <x:xf numFmtId="203" fontId="0" fillId="5" borderId="19" xfId="0" applyNumberFormat="1" applyFont="1" applyFill="1" applyBorder="1"/>
    <x:xf numFmtId="0" fontId="2" fillId="7" borderId="0" xfId="0" applyNumberFormat="1" applyFont="1" applyFill="1" applyBorder="1"/>
    <x:xf numFmtId="204" fontId="2" fillId="7" borderId="0" xfId="0" applyNumberFormat="1" applyFont="1" applyFill="1" applyBorder="1"/>
    <x:xf numFmtId="0" fontId="2" fillId="7" borderId="1" xfId="0" applyNumberFormat="1" applyFont="1" applyFill="1" applyBorder="1"/>
    <x:xf numFmtId="204" fontId="2" fillId="7" borderId="1" xfId="0" applyNumberFormat="1" applyFont="1" applyFill="1" applyBorder="1"/>
    <x:xf numFmtId="0" fontId="0" fillId="0" borderId="4" xfId="0" applyNumberFormat="1" applyFont="1" applyFill="1" applyBorder="1"/>
    <x:xf numFmtId="204" fontId="2" fillId="7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10" xfId="0" applyNumberFormat="1" applyFont="1" applyFill="1" applyBorder="1"/>
    <x:xf numFmtId="204" fontId="2" fillId="7" borderId="11" xfId="0" applyNumberFormat="1" applyFont="1" applyFill="1" applyBorder="1"/>
    <x:xf numFmtId="0" fontId="0" fillId="0" borderId="12" xfId="0" applyNumberFormat="1" applyFont="1" applyFill="1" applyBorder="1"/>
    <x:xf numFmtId="205" fontId="0" fillId="6" borderId="0" xfId="0" applyNumberFormat="1" applyFont="1" applyFill="1" applyBorder="1"/>
    <x:xf numFmtId="205" fontId="0" fillId="6" borderId="1" xfId="0" applyNumberFormat="1" applyFont="1" applyFill="1" applyBorder="1"/>
    <x:xf numFmtId="204" fontId="0" fillId="6" borderId="0" xfId="0" applyNumberFormat="1" applyFont="1" applyFill="1" applyBorder="1"/>
    <x:xf numFmtId="204" fontId="0" fillId="6" borderId="1" xfId="0" applyNumberFormat="1" applyFont="1" applyFill="1" applyBorder="1"/>
    <x:xf numFmtId="201" fontId="0" fillId="6" borderId="0" xfId="0" applyNumberFormat="1" applyFont="1" applyFill="1" applyBorder="1"/>
    <x:xf numFmtId="201" fontId="0" fillId="6" borderId="1" xfId="0" applyNumberFormat="1" applyFont="1" applyFill="1" applyBorder="1"/>
    <x:xf numFmtId="205" fontId="0" fillId="6" borderId="5" xfId="0" applyNumberFormat="1" applyFont="1" applyFill="1" applyBorder="1"/>
    <x:xf numFmtId="204" fontId="0" fillId="6" borderId="5" xfId="0" applyNumberFormat="1" applyFont="1" applyFill="1" applyBorder="1"/>
    <x:xf numFmtId="201" fontId="0" fillId="6" borderId="7" xfId="0" applyNumberFormat="1" applyFont="1" applyFill="1" applyBorder="1"/>
    <x:xf numFmtId="205" fontId="0" fillId="6" borderId="11" xfId="0" applyNumberFormat="1" applyFont="1" applyFill="1" applyBorder="1"/>
    <x:xf numFmtId="204" fontId="0" fillId="6" borderId="11" xfId="0" applyNumberFormat="1" applyFont="1" applyFill="1" applyBorder="1"/>
    <x:xf numFmtId="201" fontId="0" fillId="6" borderId="13" xfId="0" applyNumberFormat="1" applyFont="1" applyFill="1" applyBorder="1"/>
    <x:xf numFmtId="206" fontId="0" fillId="7" borderId="0" xfId="0" applyNumberFormat="1" applyFont="1" applyFill="1" applyBorder="1"/>
    <x:xf numFmtId="206" fontId="0" fillId="7" borderId="1" xfId="0" applyNumberFormat="1" applyFont="1" applyFill="1" applyBorder="1"/>
    <x:xf numFmtId="204" fontId="0" fillId="7" borderId="0" xfId="0" applyNumberFormat="1" applyFont="1" applyFill="1" applyBorder="1"/>
    <x:xf numFmtId="204" fontId="0" fillId="7" borderId="1" xfId="0" applyNumberFormat="1" applyFont="1" applyFill="1" applyBorder="1"/>
    <x:xf numFmtId="206" fontId="0" fillId="7" borderId="5" xfId="0" applyNumberFormat="1" applyFont="1" applyFill="1" applyBorder="1"/>
    <x:xf numFmtId="204" fontId="0" fillId="7" borderId="5" xfId="0" applyNumberFormat="1" applyFont="1" applyFill="1" applyBorder="1"/>
    <x:xf numFmtId="0" fontId="0" fillId="7" borderId="7" xfId="0" applyNumberFormat="1" applyFont="1" applyFill="1" applyBorder="1"/>
    <x:xf numFmtId="206" fontId="0" fillId="7" borderId="11" xfId="0" applyNumberFormat="1" applyFont="1" applyFill="1" applyBorder="1"/>
    <x:xf numFmtId="204" fontId="0" fillId="7" borderId="11" xfId="0" applyNumberFormat="1" applyFont="1" applyFill="1" applyBorder="1"/>
    <x:xf numFmtId="0" fontId="0" fillId="7" borderId="13" xfId="0" applyNumberFormat="1" applyFont="1" applyFill="1" applyBorder="1"/>
    <x:xf numFmtId="204" fontId="0" fillId="7" borderId="7" xfId="0" applyNumberFormat="1" applyFont="1" applyFill="1" applyBorder="1"/>
    <x:xf numFmtId="204" fontId="0" fillId="7" borderId="13" xfId="0" applyNumberFormat="1" applyFont="1" applyFill="1" applyBorder="1"/>
    <x:xf numFmtId="207" fontId="0" fillId="6" borderId="0" xfId="0" applyNumberFormat="1" applyFont="1" applyFill="1" applyBorder="1"/>
    <x:xf numFmtId="207" fontId="0" fillId="6" borderId="1" xfId="0" applyNumberFormat="1" applyFont="1" applyFill="1" applyBorder="1"/>
    <x:xf numFmtId="207" fontId="0" fillId="6" borderId="4" xfId="0" applyNumberFormat="1" applyFont="1" applyFill="1" applyBorder="1"/>
    <x:xf numFmtId="201" fontId="0" fillId="6" borderId="15" xfId="0" applyNumberFormat="1" applyFont="1" applyFill="1" applyBorder="1"/>
    <x:xf numFmtId="204" fontId="0" fillId="6" borderId="15" xfId="0" applyNumberFormat="1" applyFont="1" applyFill="1" applyBorder="1"/>
    <x:xf numFmtId="207" fontId="0" fillId="6" borderId="6" xfId="0" applyNumberFormat="1" applyFont="1" applyFill="1" applyBorder="1"/>
    <x:xf numFmtId="201" fontId="0" fillId="6" borderId="16" xfId="0" applyNumberFormat="1" applyFont="1" applyFill="1" applyBorder="1"/>
    <x:xf numFmtId="204" fontId="0" fillId="6" borderId="16" xfId="0" applyNumberFormat="1" applyFont="1" applyFill="1" applyBorder="1"/>
    <x:xf numFmtId="204" fontId="0" fillId="6" borderId="7" xfId="0" applyNumberFormat="1" applyFont="1" applyFill="1" applyBorder="1"/>
    <x:xf numFmtId="207" fontId="0" fillId="6" borderId="10" xfId="0" applyNumberFormat="1" applyFont="1" applyFill="1" applyBorder="1"/>
    <x:xf numFmtId="201" fontId="0" fillId="6" borderId="18" xfId="0" applyNumberFormat="1" applyFont="1" applyFill="1" applyBorder="1"/>
    <x:xf numFmtId="204" fontId="0" fillId="6" borderId="18" xfId="0" applyNumberFormat="1" applyFont="1" applyFill="1" applyBorder="1"/>
    <x:xf numFmtId="207" fontId="0" fillId="6" borderId="12" xfId="0" applyNumberFormat="1" applyFont="1" applyFill="1" applyBorder="1"/>
    <x:xf numFmtId="201" fontId="0" fillId="6" borderId="19" xfId="0" applyNumberFormat="1" applyFont="1" applyFill="1" applyBorder="1"/>
    <x:xf numFmtId="204" fontId="0" fillId="6" borderId="19" xfId="0" applyNumberFormat="1" applyFont="1" applyFill="1" applyBorder="1"/>
    <x:xf numFmtId="204" fontId="0" fillId="6" borderId="13" xfId="0" applyNumberFormat="1" applyFont="1" applyFill="1" applyBorder="1"/>
    <x:xf numFmtId="0" fontId="0" fillId="3" borderId="6" xfId="0" applyNumberFormat="1" applyFont="1" applyFill="1" applyBorder="1"/>
    <x:xf numFmtId="0" fontId="0" fillId="3" borderId="12" xfId="0" applyNumberFormat="1" applyFont="1" applyFill="1" applyBorder="1"/>
    <x:xf numFmtId="0" fontId="0" fillId="7" borderId="5" xfId="0" applyNumberFormat="1" applyFont="1" applyFill="1" applyBorder="1"/>
    <x:xf numFmtId="0" fontId="0" fillId="7" borderId="1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d46072f4de4b80" /><Relationship Type="http://schemas.openxmlformats.org/officeDocument/2006/relationships/theme" Target="/xl/theme/theme1.xml" Id="R44e96de0d11040f4" /><Relationship Type="http://schemas.openxmlformats.org/officeDocument/2006/relationships/sharedStrings" Target="/xl/sharedStrings.xml" Id="R109b67dde8fe4a6e" /><Relationship Type="http://schemas.openxmlformats.org/officeDocument/2006/relationships/worksheet" Target="/xl/worksheets/sheet1.xml" Id="R008da05f680f46cc" /><Relationship Type="http://schemas.openxmlformats.org/officeDocument/2006/relationships/worksheet" Target="/xl/worksheets/sheet2.xml" Id="Racf3fd7e5a024806" /><Relationship Type="http://schemas.openxmlformats.org/officeDocument/2006/relationships/worksheet" Target="/xl/worksheets/sheet3.xml" Id="Ra63f4dce61ca40c8" /><Relationship Type="http://schemas.openxmlformats.org/officeDocument/2006/relationships/worksheet" Target="/xl/worksheets/sheet4.xml" Id="R8814d89f14fa4ba5" /><Relationship Type="http://schemas.openxmlformats.org/officeDocument/2006/relationships/worksheet" Target="/xl/worksheets/sheet5.xml" Id="R72350d30bb034a93" /><Relationship Type="http://schemas.openxmlformats.org/officeDocument/2006/relationships/worksheet" Target="/xl/worksheets/sheet6.xml" Id="Rb058d50e342a4c2b" /><Relationship Type="http://schemas.openxmlformats.org/officeDocument/2006/relationships/worksheet" Target="/xl/worksheets/sheet7.xml" Id="R4ade1c37ce8e4f7b" /><Relationship Type="http://schemas.openxmlformats.org/officeDocument/2006/relationships/worksheet" Target="/xl/worksheets/sheet8.xml" Id="R6f5d349fd0294f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ee0a4f457346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EUR Receivable: USD Proceeds by Settlement EURUSD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Unhedged</c:v>
          </c:tx>
          <c:marker>
            <c:symbol val="none"/>
          </c:marker>
          <c:cat>
            <c:strRef>
              <c:f>'Sensitivity'!$B$7:$B$17</c:f>
              <c:strCache>
                <c:ptCount val="0"/>
              </c:strCache>
            </c:strRef>
          </c:cat>
          <c:val>
            <c:numRef>
              <c:f>'Sensitivity'!$C$7:$C$17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Forward</c:v>
          </c:tx>
          <c:marker>
            <c:symbol val="none"/>
          </c:marker>
          <c:cat>
            <c:strRef>
              <c:f>'Sensitivity'!$B$7:$B$17</c:f>
              <c:strCache>
                <c:ptCount val="0"/>
              </c:strCache>
            </c:strRef>
          </c:cat>
          <c:val>
            <c:numRef>
              <c:f>'Sensitivity'!$D$7:$D$17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Money Market</c:v>
          </c:tx>
          <c:marker>
            <c:symbol val="none"/>
          </c:marker>
          <c:cat>
            <c:strRef>
              <c:f>'Sensitivity'!$B$7:$B$17</c:f>
              <c:strCache>
                <c:ptCount val="0"/>
              </c:strCache>
            </c:strRef>
          </c:cat>
          <c:val>
            <c:numRef>
              <c:f>'Sensitivity'!$E$7:$E$17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Put Net</c:v>
          </c:tx>
          <c:marker>
            <c:symbol val="none"/>
          </c:marker>
          <c:cat>
            <c:strRef>
              <c:f>'Sensitivity'!$B$7:$B$17</c:f>
              <c:strCache>
                <c:ptCount val="0"/>
              </c:strCache>
            </c:strRef>
          </c:cat>
          <c:val>
            <c:numRef>
              <c:f>'Sensitivity'!$F$7:$F$17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Settlement EURUSD (USD per EUR)</a:t>
                </a:r>
              </a:p>
            </c:rich>
          </c:tx>
          <c:overlay val="0"/>
        </c:title>
        <c:numFmt formatCode="0.000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USD Proceeds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8</xdr:col>
      <xdr:colOff>0</xdr:colOff>
      <xdr:row>5</xdr:row>
      <xdr:rowOff>0</xdr:rowOff>
    </xdr:from>
    <xdr:ext cx="7239000" cy="37147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ee0a4f457346d5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tblSensitivity" displayName="tblSensitivity" ref="A6:G17" headerRowCount="1" totalsRowCount="0" totalsRowShown="0">
  <x:tableColumns count="7">
    <x:tableColumn id="1" name="Change vs S0"/>
    <x:tableColumn id="2" name="S_T (USD/EUR)"/>
    <x:tableColumn id="3" name="Unhedged Proceeds (USD)"/>
    <x:tableColumn id="4" name="Forward Proceeds (USD)"/>
    <x:tableColumn id="5" name="Money-Market Proceeds (USD)"/>
    <x:tableColumn id="6" name="Put Net Proceeds (USD)"/>
    <x:tableColumn id="7" name="Call Protected Cost (USD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e29b74313e224af0" /><Relationship Type="http://schemas.openxmlformats.org/officeDocument/2006/relationships/table" Target="/xl/tables/table1.xml" Id="R1060aeb693054716" /></Relationships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 ht="28" customHeight="1">
      <x:c r="A1" s="5" t="str">
        <x:v>FX Hedging Model — Payroll Software</x:v>
      </x:c>
      <x:c r="B1" s="5"/>
      <x:c r="C1" s="5"/>
      <x:c r="D1" s="5"/>
      <x:c r="E1" s="5"/>
      <x:c r="F1" s="5"/>
      <x:c r="G1" s="5"/>
    </x:row>
    <x:row r="3">
      <x:c r="A3" s="16" t="str">
        <x:v>Scenario</x:v>
      </x:c>
      <x:c r="B3" s="17" t="str">
        <x:v>Scenario 6 — payroll-software</x:v>
      </x:c>
    </x:row>
    <x:row r="4">
      <x:c r="A4" s="18" t="str">
        <x:v>Author</x:v>
      </x:c>
      <x:c r="B4" s="19" t="str">
        <x:v>Eric Sun</x:v>
      </x:c>
    </x:row>
    <x:row r="5">
      <x:c r="A5" s="18" t="str">
        <x:v>Build date</x:v>
      </x:c>
      <x:c r="B5" s="19" t="str">
        <x:v>2026-10-27</x:v>
      </x:c>
    </x:row>
    <x:row r="6">
      <x:c r="A6" s="18" t="str">
        <x:v>Exposure</x:v>
      </x:c>
      <x:c r="B6" s="19" t="str">
        <x:v>EUR 4,300,000 receivable</x:v>
      </x:c>
    </x:row>
    <x:row r="7">
      <x:c r="A7" s="18" t="str">
        <x:v>Settlement</x:v>
      </x:c>
      <x:c r="B7" s="19" t="str">
        <x:v>365 days</x:v>
      </x:c>
    </x:row>
    <x:row r="8">
      <x:c r="A8" s="20" t="str">
        <x:v>Business risk</x:v>
      </x:c>
      <x:c r="B8" s="21" t="str">
        <x:v>EUR weakness reduces USD value of the receivable</x:v>
      </x:c>
    </x:row>
    <x:row r="10">
      <x:c r="A10" s="31" t="str">
        <x:v>Data Provenance / Stage Status</x:v>
      </x:c>
      <x:c r="B10" s="31"/>
      <x:c r="C10" s="31"/>
      <x:c r="D10" s="31"/>
      <x:c r="E10" s="31"/>
    </x:row>
    <x:row r="11">
      <x:c r="A11" s="44" t="str">
        <x:v>Input group</x:v>
      </x:c>
      <x:c r="B11" s="45" t="str">
        <x:v>Status</x:v>
      </x:c>
      <x:c r="C11" s="45" t="str">
        <x:v>Stage 2 treatment</x:v>
      </x:c>
      <x:c r="D11" s="45" t="str">
        <x:v>Stage 4 action</x:v>
      </x:c>
      <x:c r="E11" s="46" t="str">
        <x:v>Source / provenance</x:v>
      </x:c>
    </x:row>
    <x:row r="12">
      <x:c r="A12" s="47" t="str">
        <x:v>Contractual amount &amp; maturity</x:v>
      </x:c>
      <x:c r="B12" s="48" t="str">
        <x:v>Fixed</x:v>
      </x:c>
      <x:c r="C12" s="48" t="str">
        <x:v>Scenario inputs</x:v>
      </x:c>
      <x:c r="D12" s="48" t="str">
        <x:v>Remain fixed</x:v>
      </x:c>
      <x:c r="E12" s="19" t="str">
        <x:v>Assigned Scenario 6</x:v>
      </x:c>
    </x:row>
    <x:row r="13">
      <x:c r="A13" s="47" t="str">
        <x:v>Forward &amp; option premiums</x:v>
      </x:c>
      <x:c r="B13" s="48" t="str">
        <x:v>Indicative</x:v>
      </x:c>
      <x:c r="C13" s="48" t="str">
        <x:v>Assigned scenario values</x:v>
      </x:c>
      <x:c r="D13" s="48" t="str">
        <x:v>Confirm per Stage 4 instructions</x:v>
      </x:c>
      <x:c r="E13" s="19" t="str">
        <x:v>Assigned Scenario 6</x:v>
      </x:c>
    </x:row>
    <x:row r="14">
      <x:c r="A14" s="47" t="str">
        <x:v>Spot, USD rate, EUR rate</x:v>
      </x:c>
      <x:c r="B14" s="48" t="str">
        <x:v>Placeholder</x:v>
      </x:c>
      <x:c r="C14" s="48" t="str">
        <x:v>Model-design placeholders</x:v>
      </x:c>
      <x:c r="D14" s="48" t="str">
        <x:v>Replace with sourced, timestamped live data</x:v>
      </x:c>
      <x:c r="E14" s="19" t="str">
        <x:v>Stage 4 market-data memo</x:v>
      </x:c>
    </x:row>
    <x:row r="15">
      <x:c r="A15" s="49" t="str">
        <x:v>Option strikes</x:v>
      </x:c>
      <x:c r="B15" s="50" t="str">
        <x:v>Derived placeholder</x:v>
      </x:c>
      <x:c r="C15" s="50" t="str">
        <x:v>Set at Stage 2 spot</x:v>
      </x:c>
      <x:c r="D15" s="50" t="str">
        <x:v>Reset to live spot for ATM strike</x:v>
      </x:c>
      <x:c r="E15" s="21" t="str">
        <x:v>Derived from S0_in</x:v>
      </x:c>
    </x:row>
    <x:row r="17">
      <x:c r="A17" s="59" t="str">
        <x:v>Stage 3 build note: market-dependent Stage 2 values are indicative placeholders, not live market observations. They are replaced/documented in Stage 4.</x:v>
      </x:c>
      <x:c r="B17" s="59"/>
      <x:c r="C17" s="59"/>
      <x:c r="D17" s="59"/>
      <x:c r="E17" s="59"/>
      <x:c r="F17" s="59"/>
      <x:c r="G17" s="59"/>
    </x:row>
    <x:row r="18">
      <x:c r="A18" s="59"/>
      <x:c r="B18" s="59"/>
      <x:c r="C18" s="59"/>
      <x:c r="D18" s="59"/>
      <x:c r="E18" s="59"/>
      <x:c r="F18" s="59"/>
      <x:c r="G18" s="59"/>
    </x:row>
  </x:sheetData>
  <x:mergeCells>
    <x:mergeCell ref="A1:G1"/>
    <x:mergeCell ref="A10:E10"/>
    <x:mergeCell ref="A17:G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32" hidden="0" customWidth="1"/>
    <x:col min="3" max="3" width="42" hidden="0" customWidth="1"/>
  </x:cols>
  <x:sheetData>
    <x:row r="1" ht="28" customHeight="1">
      <x:c r="A1" s="5" t="str">
        <x:v>Legend / Key</x:v>
      </x:c>
      <x:c r="B1" s="5"/>
      <x:c r="C1" s="5"/>
      <x:c r="D1" s="5"/>
      <x:c r="E1" s="5"/>
    </x:row>
    <x:row r="3">
      <x:c r="A3" s="44" t="str">
        <x:v>Color</x:v>
      </x:c>
      <x:c r="B3" s="45" t="str">
        <x:v>Meaning</x:v>
      </x:c>
      <x:c r="C3" s="46" t="str">
        <x:v>Use</x:v>
      </x:c>
    </x:row>
    <x:row r="4">
      <x:c r="A4" s="68" t="str">
        <x:v>Yellow</x:v>
      </x:c>
      <x:c r="B4" s="69" t="str">
        <x:v>Inputs</x:v>
      </x:c>
      <x:c r="C4" s="70" t="str">
        <x:v>Hard-coded scenario or market inputs</x:v>
      </x:c>
    </x:row>
    <x:row r="5">
      <x:c r="A5" s="71" t="str">
        <x:v>Blue</x:v>
      </x:c>
      <x:c r="B5" s="69" t="str">
        <x:v>Assumptions</x:v>
      </x:c>
      <x:c r="C5" s="70" t="str">
        <x:v>Conventions, provenance, and modeling assumptions</x:v>
      </x:c>
    </x:row>
    <x:row r="6">
      <x:c r="A6" s="72" t="str">
        <x:v>Green</x:v>
      </x:c>
      <x:c r="B6" s="69" t="str">
        <x:v>Formulas</x:v>
      </x:c>
      <x:c r="C6" s="70" t="str">
        <x:v>Intermediate calculations</x:v>
      </x:c>
    </x:row>
    <x:row r="7">
      <x:c r="A7" s="73" t="str">
        <x:v>Gray</x:v>
      </x:c>
      <x:c r="B7" s="74" t="str">
        <x:v>Outputs</x:v>
      </x:c>
      <x:c r="C7" s="75" t="str">
        <x:v>Primary results and validation statuses</x:v>
      </x:c>
    </x:row>
    <x:row r="9">
      <x:c r="A9" s="16" t="str">
        <x:v>Convention</x:v>
      </x:c>
      <x:c r="B9" s="17" t="str">
        <x:v>Rule</x:v>
      </x:c>
    </x:row>
    <x:row r="10">
      <x:c r="A10" s="18" t="str">
        <x:v>Rate basis</x:v>
      </x:c>
      <x:c r="B10" s="19" t="str">
        <x:v>Simple annual interest; ACT/360</x:v>
      </x:c>
    </x:row>
    <x:row r="11">
      <x:c r="A11" s="18" t="str">
        <x:v>Settlement</x:v>
      </x:c>
      <x:c r="B11" s="19" t="str">
        <x:v>T_DAYS stays 365; ACT/360 changes interest accrual only</x:v>
      </x:c>
    </x:row>
    <x:row r="12">
      <x:c r="A12" s="18" t="str">
        <x:v>Option premium</x:v>
      </x:c>
      <x:c r="B12" s="19" t="str">
        <x:v>Nominal USD cost; not financed or compounded</x:v>
      </x:c>
    </x:row>
    <x:row r="13">
      <x:c r="A13" s="20" t="str">
        <x:v>Call</x:v>
      </x:c>
      <x:c r="B13" s="21" t="str">
        <x:v>Comparison for reversed EUR-payable exposure; not the primary receivable hedge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30" hidden="0" customWidth="1"/>
    <x:col min="3" max="3" width="16" hidden="0" customWidth="1"/>
    <x:col min="4" max="4" width="14" hidden="0" customWidth="1"/>
    <x:col min="5" max="5" width="18" hidden="0" customWidth="1"/>
    <x:col min="6" max="6" width="42" hidden="0" customWidth="1"/>
    <x:col min="7" max="7" width="25" hidden="0" customWidth="1"/>
  </x:cols>
  <x:sheetData>
    <x:row r="1" ht="28" customHeight="1">
      <x:c r="A1" s="5" t="str">
        <x:v>Inputs — Named-Range Contract</x:v>
      </x:c>
      <x:c r="B1" s="5"/>
      <x:c r="C1" s="5"/>
      <x:c r="D1" s="5"/>
      <x:c r="E1" s="5"/>
      <x:c r="F1" s="5"/>
      <x:c r="G1" s="5"/>
    </x:row>
    <x:row r="3">
      <x:c r="A3" s="44" t="str">
        <x:v>Named Range</x:v>
      </x:c>
      <x:c r="B3" s="45" t="str">
        <x:v>Description</x:v>
      </x:c>
      <x:c r="C3" s="45" t="str">
        <x:v>Value</x:v>
      </x:c>
      <x:c r="D3" s="45" t="str">
        <x:v>Unit</x:v>
      </x:c>
      <x:c r="E3" s="45" t="str">
        <x:v>Stage 2 Status</x:v>
      </x:c>
      <x:c r="F3" s="45" t="str">
        <x:v>Stage 4 Source / Treatment</x:v>
      </x:c>
      <x:c r="G3" s="46" t="str">
        <x:v>Notes</x:v>
      </x:c>
    </x:row>
    <x:row r="4">
      <x:c r="A4" s="47" t="str">
        <x:v>FC_AMT</x:v>
      </x:c>
      <x:c r="B4" s="48" t="str">
        <x:v>Foreign-currency receivable</x:v>
      </x:c>
      <x:c r="C4" s="98" t="n">
        <x:v>4300000</x:v>
      </x:c>
      <x:c r="D4" s="69" t="str">
        <x:v>EUR</x:v>
      </x:c>
      <x:c r="E4" s="87" t="str">
        <x:v>Scenario / fixed</x:v>
      </x:c>
      <x:c r="F4" s="87" t="str">
        <x:v>Assigned contractual amount; remains fixed</x:v>
      </x:c>
      <x:c r="G4" s="88" t="str">
        <x:v>Scenario 6</x:v>
      </x:c>
    </x:row>
    <x:row r="5">
      <x:c r="A5" s="47" t="str">
        <x:v>S0_in</x:v>
      </x:c>
      <x:c r="B5" s="48" t="str">
        <x:v>Spot EURUSD rate at inception</x:v>
      </x:c>
      <x:c r="C5" s="100" t="n">
        <x:v>1.15</x:v>
      </x:c>
      <x:c r="D5" s="69" t="str">
        <x:v>USD/EUR</x:v>
      </x:c>
      <x:c r="E5" s="87" t="str">
        <x:v>Placeholder</x:v>
      </x:c>
      <x:c r="F5" s="87" t="str">
        <x:v>Replace with timestamped EURUSD spot in Stage 4</x:v>
      </x:c>
      <x:c r="G5" s="88" t="str">
        <x:v>Indicative only</x:v>
      </x:c>
    </x:row>
    <x:row r="6">
      <x:c r="A6" s="47" t="str">
        <x:v>F0_in</x:v>
      </x:c>
      <x:c r="B6" s="48" t="str">
        <x:v>365-day EURUSD forward rate</x:v>
      </x:c>
      <x:c r="C6" s="100" t="n">
        <x:v>1.1807</x:v>
      </x:c>
      <x:c r="D6" s="69" t="str">
        <x:v>USD/EUR</x:v>
      </x:c>
      <x:c r="E6" s="87" t="str">
        <x:v>Scenario / indicative</x:v>
      </x:c>
      <x:c r="F6" s="87" t="str">
        <x:v>Confirm/document 12-month forward treatment in Stage 4</x:v>
      </x:c>
      <x:c r="G6" s="88" t="str">
        <x:v>Assigned Scenario 6</x:v>
      </x:c>
    </x:row>
    <x:row r="7">
      <x:c r="A7" s="47" t="str">
        <x:v>R_USD</x:v>
      </x:c>
      <x:c r="B7" s="48" t="str">
        <x:v>USD annual interest rate</x:v>
      </x:c>
      <x:c r="C7" s="102" t="n">
        <x:v>0.0425</x:v>
      </x:c>
      <x:c r="D7" s="69" t="str">
        <x:v>Annual %</x:v>
      </x:c>
      <x:c r="E7" s="87" t="str">
        <x:v>Placeholder</x:v>
      </x:c>
      <x:c r="F7" s="87" t="str">
        <x:v>Replace with matched 12-month USD rate; source/date in Stage 4 memo</x:v>
      </x:c>
      <x:c r="G7" s="88" t="str">
        <x:v>Simple interest, ACT/360</x:v>
      </x:c>
    </x:row>
    <x:row r="8">
      <x:c r="A8" s="47" t="str">
        <x:v>R_FC</x:v>
      </x:c>
      <x:c r="B8" s="48" t="str">
        <x:v>EUR annual interest rate</x:v>
      </x:c>
      <x:c r="C8" s="102" t="n">
        <x:v>0.01575</x:v>
      </x:c>
      <x:c r="D8" s="69" t="str">
        <x:v>Annual %</x:v>
      </x:c>
      <x:c r="E8" s="87" t="str">
        <x:v>Placeholder</x:v>
      </x:c>
      <x:c r="F8" s="87" t="str">
        <x:v>Replace with matched 12-month EUR rate; source/date in Stage 4 memo</x:v>
      </x:c>
      <x:c r="G8" s="88" t="str">
        <x:v>Simple interest, ACT/360</x:v>
      </x:c>
    </x:row>
    <x:row r="9">
      <x:c r="A9" s="47" t="str">
        <x:v>K_PUT</x:v>
      </x:c>
      <x:c r="B9" s="48" t="str">
        <x:v>EUR put strike</x:v>
      </x:c>
      <x:c r="C9" s="100" t="n">
        <x:v>1.15</x:v>
      </x:c>
      <x:c r="D9" s="69" t="str">
        <x:v>USD/EUR</x:v>
      </x:c>
      <x:c r="E9" s="87" t="str">
        <x:v>Derived placeholder</x:v>
      </x:c>
      <x:c r="F9" s="87" t="str">
        <x:v>Set equal to live S0_in for ATM strike in Stage 4</x:v>
      </x:c>
      <x:c r="G9" s="88" t="str">
        <x:v>Strike at spot</x:v>
      </x:c>
    </x:row>
    <x:row r="10">
      <x:c r="A10" s="47" t="str">
        <x:v>K_CALL</x:v>
      </x:c>
      <x:c r="B10" s="48" t="str">
        <x:v>EUR call strike</x:v>
      </x:c>
      <x:c r="C10" s="100" t="n">
        <x:v>1.15</x:v>
      </x:c>
      <x:c r="D10" s="69" t="str">
        <x:v>USD/EUR</x:v>
      </x:c>
      <x:c r="E10" s="87" t="str">
        <x:v>Derived placeholder</x:v>
      </x:c>
      <x:c r="F10" s="87" t="str">
        <x:v>Set equal to live S0_in for ATM strike in Stage 4</x:v>
      </x:c>
      <x:c r="G10" s="88" t="str">
        <x:v>Strike at spot</x:v>
      </x:c>
    </x:row>
    <x:row r="11">
      <x:c r="A11" s="47" t="str">
        <x:v>PREM_PUT</x:v>
      </x:c>
      <x:c r="B11" s="48" t="str">
        <x:v>Put premium per EUR</x:v>
      </x:c>
      <x:c r="C11" s="100" t="n">
        <x:v>0.0245</x:v>
      </x:c>
      <x:c r="D11" s="69" t="str">
        <x:v>USD/EUR</x:v>
      </x:c>
      <x:c r="E11" s="87" t="str">
        <x:v>Scenario / indicative</x:v>
      </x:c>
      <x:c r="F11" s="87" t="str">
        <x:v>Confirm per Stage 4 instructions; otherwise scenario is source</x:v>
      </x:c>
      <x:c r="G11" s="88" t="str">
        <x:v>Assigned Scenario 6</x:v>
      </x:c>
    </x:row>
    <x:row r="12">
      <x:c r="A12" s="47" t="str">
        <x:v>PREM_CALL</x:v>
      </x:c>
      <x:c r="B12" s="48" t="str">
        <x:v>Call premium per EUR</x:v>
      </x:c>
      <x:c r="C12" s="100" t="n">
        <x:v>0.0448</x:v>
      </x:c>
      <x:c r="D12" s="69" t="str">
        <x:v>USD/EUR</x:v>
      </x:c>
      <x:c r="E12" s="87" t="str">
        <x:v>Scenario / indicative</x:v>
      </x:c>
      <x:c r="F12" s="87" t="str">
        <x:v>Confirm per Stage 4 instructions; otherwise scenario is source</x:v>
      </x:c>
      <x:c r="G12" s="88" t="str">
        <x:v>Assigned Scenario 6</x:v>
      </x:c>
    </x:row>
    <x:row r="13">
      <x:c r="A13" s="49" t="str">
        <x:v>T_DAYS</x:v>
      </x:c>
      <x:c r="B13" s="50" t="str">
        <x:v>Days to settlement</x:v>
      </x:c>
      <x:c r="C13" s="104" t="n">
        <x:v>365</x:v>
      </x:c>
      <x:c r="D13" s="74" t="str">
        <x:v>Days</x:v>
      </x:c>
      <x:c r="E13" s="90" t="str">
        <x:v>Scenario / fixed</x:v>
      </x:c>
      <x:c r="F13" s="90" t="str">
        <x:v>Contractual maturity; remains fixed</x:v>
      </x:c>
      <x:c r="G13" s="91" t="str">
        <x:v>ACT/360 affects interest only</x:v>
      </x:c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24" hidden="0" customWidth="1"/>
    <col min="2" max="2" width="48" hidden="0" customWidth="1"/>
    <col min="3" max="3" width="20" hidden="0" customWidth="1"/>
  </cols>
  <sheetData>
    <row r="1" ht="28" customHeight="1">
      <c r="A1" s="5" t="str">
        <v>Forward Hedge</v>
      </c>
      <c r="B1" s="5"/>
      <c r="C1" s="5"/>
      <c r="D1" s="5"/>
      <c r="E1" s="5"/>
      <c r="F1" s="5"/>
    </row>
    <row r="3">
      <c r="A3" s="44" t="str">
        <v>Item</v>
      </c>
      <c r="B3" s="45" t="str">
        <v>Formula / Description</v>
      </c>
      <c r="C3" s="46" t="str">
        <v>Result</v>
      </c>
    </row>
    <row r="4">
      <c r="A4" s="110" t="str">
        <v>Locked USD proceeds</v>
      </c>
      <c r="B4" s="69" t="str">
        <v>FC_AMT × F0_in</v>
      </c>
      <c r="C4" s="111">
        <f>FC_AMT*F0_in</f>
        <v>5077010.0</v>
      </c>
    </row>
    <row r="5">
      <c r="A5" s="112" t="str">
        <v>Interpretation</v>
      </c>
      <c r="B5" s="90" t="str">
        <v>Locks the USD value of the EUR receivable at the forward rate.</v>
      </c>
      <c r="C5" s="91"/>
    </row>
  </sheetData>
  <mergeCells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12" hidden="0" customWidth="1"/>
    <col min="2" max="2" width="48" hidden="0" customWidth="1"/>
    <col min="3" max="3" width="50" hidden="0" customWidth="1"/>
    <col min="4" max="4" width="22" hidden="0" customWidth="1"/>
  </cols>
  <sheetData>
    <row r="1" ht="28" customHeight="1">
      <c r="A1" s="5" t="str">
        <v>Money-Market Hedge — Three Explicit Steps</v>
      </c>
      <c r="B1" s="5"/>
      <c r="C1" s="5"/>
      <c r="D1" s="5"/>
      <c r="E1" s="5"/>
      <c r="F1" s="5"/>
    </row>
    <row r="3">
      <c r="A3" s="44" t="str">
        <v>Step</v>
      </c>
      <c r="B3" s="45" t="str">
        <v>Calculation</v>
      </c>
      <c r="C3" s="45" t="str">
        <v>Named formula</v>
      </c>
      <c r="D3" s="46" t="str">
        <v>Result</v>
      </c>
    </row>
    <row r="4">
      <c r="A4" s="110" t="str">
        <v>1</v>
      </c>
      <c r="B4" s="69" t="str">
        <v>Borrow EUR today so the receivable exactly repays the loan</v>
      </c>
      <c r="C4" s="69" t="str">
        <v>FC_AMT / (1 + R_FC × T_DAYS/360)</v>
      </c>
      <c r="D4" s="122">
        <f>FC_AMT/(1+R_FC*T_DAYS/360)</f>
        <v>4232413.644612593</v>
      </c>
    </row>
    <row r="5">
      <c r="A5" s="110" t="str">
        <v>2</v>
      </c>
      <c r="B5" s="69" t="str">
        <v>Convert borrowed EUR into USD at inception spot</v>
      </c>
      <c r="C5" s="69" t="str">
        <v>MM_BORROW_FC × S0_in</v>
      </c>
      <c r="D5" s="123">
        <f>MM_BORROW_FC*S0_in</f>
        <v>4867275.691304482</v>
      </c>
    </row>
    <row r="6">
      <c r="A6" s="110" t="str">
        <v>3</v>
      </c>
      <c r="B6" s="69" t="str">
        <v>Invest USD until settlement</v>
      </c>
      <c r="C6" s="69" t="str">
        <v>MM_USD_NOW × (1 + R_USD × T_DAYS/360)</v>
      </c>
      <c r="D6" s="123">
        <f>MM_USD_NOW*(1+R_USD*T_DAYS/360)</f>
        <v>5077007.952863817</v>
      </c>
    </row>
    <row r="7">
      <c r="A7" s="112" t="str">
        <v>Parity</v>
      </c>
      <c r="B7" s="74" t="str">
        <v>Implied forward from covered interest parity</v>
      </c>
      <c r="C7" s="74" t="str">
        <v>S0_in × (1 + R_USD × T_DAYS/360) / (1 + R_FC × T_DAYS/360)</v>
      </c>
      <c r="D7" s="124">
        <f>S0_in*(1+R_USD*T_DAYS/360)/(1+R_FC*T_DAYS/360)</f>
        <v>1.1806995239218177</v>
      </c>
    </row>
    <row r="9">
      <c r="A9" s="31" t="str">
        <v>Parity Validation</v>
      </c>
      <c r="B9" s="31"/>
      <c r="C9" s="31"/>
      <c r="D9" s="31"/>
    </row>
    <row r="10">
      <c r="A10" s="44" t="str">
        <v>Check</v>
      </c>
      <c r="B10" s="45" t="str">
        <v>Formula</v>
      </c>
      <c r="C10" s="45" t="str">
        <v>Tolerance / Expectation</v>
      </c>
      <c r="D10" s="46" t="str">
        <v>Result</v>
      </c>
    </row>
    <row r="11">
      <c r="A11" s="110" t="str">
        <v>Quoted vs implied forward gap</v>
      </c>
      <c r="B11" s="69" t="str">
        <v>F_IMPLIED - F0_in</v>
      </c>
      <c r="C11" s="69" t="str">
        <v>ABS(gap) &lt;= 0.00005 USD/EUR</v>
      </c>
      <c r="D11" s="132">
        <f>F_IMPLIED-F0_in</f>
        <v>-4.7607818243200484e-07</v>
      </c>
    </row>
    <row r="12">
      <c r="A12" s="110" t="str">
        <v>Money-market vs forward proceeds gap</v>
      </c>
      <c r="B12" s="69" t="str">
        <v>MM_PROCEEDS - FWD_PROCEEDS</v>
      </c>
      <c r="C12" s="69" t="str">
        <v>Approx. -$2.05 using Stage 2 placeholders</v>
      </c>
      <c r="D12" s="133">
        <f>MM_PROCEEDS-FWD_PROCEEDS</f>
        <v>-2.047136182896793</v>
      </c>
    </row>
    <row r="13">
      <c r="A13" s="112" t="str">
        <v>Parity status</v>
      </c>
      <c r="B13" s="74" t="str">
        <v>PASS when ABS(PARITY_GAP) &lt;= 0.00005</v>
      </c>
      <c r="C13" s="74" t="str">
        <v>PASS</v>
      </c>
      <c r="D13" s="134" t="str">
        <f>IF(ABS(PARITY_GAP)&lt;=0.00005,"PASS","FLAG")</f>
        <v>PASS</v>
      </c>
    </row>
  </sheetData>
  <mergeCells>
    <mergeCell ref="A1:F1"/>
    <mergeCell ref="A9:D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30" hidden="0" customWidth="1"/>
    <col min="2" max="2" width="42" hidden="0" customWidth="1"/>
    <col min="3" max="3" width="50" hidden="0" customWidth="1"/>
    <col min="4" max="4" width="22" hidden="0" customWidth="1"/>
  </cols>
  <sheetData>
    <row r="1" ht="28" customHeight="1">
      <c r="A1" s="5" t="str">
        <v>Options — Put Floor and Call Comparison</v>
      </c>
      <c r="B1" s="5"/>
      <c r="C1" s="5"/>
      <c r="D1" s="5"/>
      <c r="E1" s="5"/>
      <c r="F1" s="5"/>
    </row>
    <row r="3">
      <c r="A3" s="44" t="str">
        <v>Item</v>
      </c>
      <c r="B3" s="45" t="str">
        <v>Purpose</v>
      </c>
      <c r="C3" s="45" t="str">
        <v>Formula</v>
      </c>
      <c r="D3" s="46" t="str">
        <v>Result</v>
      </c>
    </row>
    <row r="4">
      <c r="A4" s="110" t="str">
        <v>Put premium cost</v>
      </c>
      <c r="B4" s="48" t="str">
        <v>Total USD premium for the EUR put</v>
      </c>
      <c r="C4" s="48" t="str">
        <v>FC_AMT × PREM_PUT</v>
      </c>
      <c r="D4" s="133">
        <f>FC_AMT*PREM_PUT</f>
        <v>105350.0</v>
      </c>
    </row>
    <row r="5">
      <c r="A5" s="110" t="str">
        <v>Call premium cost</v>
      </c>
      <c r="B5" s="48" t="str">
        <v>Total USD premium for the EUR call</v>
      </c>
      <c r="C5" s="48" t="str">
        <v>FC_AMT × PREM_CALL</v>
      </c>
      <c r="D5" s="133">
        <f>FC_AMT*PREM_CALL</f>
        <v>192640.0</v>
      </c>
    </row>
    <row r="6">
      <c r="A6" s="110" t="str">
        <v>Put floor</v>
      </c>
      <c r="B6" s="48" t="str">
        <v>Minimum net USD proceeds when S_T is below strike</v>
      </c>
      <c r="C6" s="48" t="str">
        <v>FC_AMT × K_PUT − PUT_PREM_TOTAL</v>
      </c>
      <c r="D6" s="133">
        <f>FC_AMT*K_PUT-PUT_PREM_TOTAL</f>
        <v>4839650.0</v>
      </c>
    </row>
    <row r="7">
      <c r="A7" s="110" t="str">
        <v>Put net proceeds at S_T = S0_in</v>
      </c>
      <c r="B7" s="48" t="str">
        <v>Illustrative point; full S_T function is on Sensitivity</v>
      </c>
      <c r="C7" s="48" t="str">
        <v>FC_AMT × MAX(S0_in, K_PUT) − PUT_PREM_TOTAL</v>
      </c>
      <c r="D7" s="133">
        <f>FC_AMT*MAX(S0_in,K_PUT)-PUT_PREM_TOTAL</f>
        <v>4839650.0</v>
      </c>
    </row>
    <row r="8">
      <c r="A8" s="112" t="str">
        <v>Call protected cost at S_T = S0_in</v>
      </c>
      <c r="B8" s="50" t="str">
        <v>Comparison for reversed EUR payable</v>
      </c>
      <c r="C8" s="50" t="str">
        <v>FC_AMT × MIN(S0_in, K_CALL) + CALL_PREM_TOTAL</v>
      </c>
      <c r="D8" s="138">
        <f>FC_AMT*MIN(S0_in,K_CALL)+CALL_PREM_TOTAL</f>
        <v>5137640.0</v>
      </c>
    </row>
    <row r="10">
      <c r="A10" s="84" t="str">
        <v>For the EUR receivable, the put is the protective option. The call is retained as the required comparison for the reversed EUR-payable exposure. Both vary with S_T in the Sensitivity table.</v>
      </c>
      <c r="B10" s="84"/>
      <c r="C10" s="84"/>
      <c r="D10" s="84"/>
      <c r="E10" s="84"/>
      <c r="F10" s="84"/>
    </row>
    <row r="11">
      <c r="A11" s="84"/>
      <c r="B11" s="84"/>
      <c r="C11" s="84"/>
      <c r="D11" s="84"/>
      <c r="E11" s="84"/>
      <c r="F11" s="84"/>
    </row>
  </sheetData>
  <mergeCells>
    <mergeCell ref="A1:F1"/>
    <mergeCell ref="A10:F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2" topLeftCell="A3" activePane="bottomLeft" state="frozen"/>
    </sheetView>
  </sheetViews>
  <sheetFormatPr defaultRowHeight="15"/>
  <cols>
    <col min="1" max="1" width="15" hidden="0" customWidth="1"/>
    <col min="2" max="2" width="18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</cols>
  <sheetData>
    <row r="1" ht="28" customHeight="1">
      <c r="A1" s="5" t="str">
        <v>Sensitivity — Settlement EURUSD ±5% in 1% Steps</v>
      </c>
      <c r="B1" s="5"/>
      <c r="C1" s="5"/>
      <c r="D1" s="5"/>
      <c r="E1" s="5"/>
      <c r="F1" s="5"/>
      <c r="G1" s="5"/>
      <c r="H1" s="5"/>
      <c r="I1" s="5"/>
      <c r="J1" s="5"/>
    </row>
    <row r="3">
      <c r="A3" s="84" t="str">
        <v>Eleven formula-driven S_T scenarios from 0.95×S0_in through 1.05×S0_in. The chart includes the EUR-receivable strategies; the call column is the reversed-payable comparison.</v>
      </c>
      <c r="B3" s="84"/>
      <c r="C3" s="84"/>
      <c r="D3" s="84"/>
      <c r="E3" s="84"/>
      <c r="F3" s="84"/>
      <c r="G3" s="84"/>
      <c r="H3" s="84"/>
      <c r="I3" s="84"/>
      <c r="J3" s="84"/>
    </row>
    <row r="4">
      <c r="A4" s="84"/>
      <c r="B4" s="84"/>
      <c r="C4" s="84"/>
      <c r="D4" s="84"/>
      <c r="E4" s="84"/>
      <c r="F4" s="84"/>
      <c r="G4" s="84"/>
      <c r="H4" s="84"/>
      <c r="I4" s="84"/>
      <c r="J4" s="84"/>
    </row>
    <row r="6">
      <c r="A6" s="44" t="str">
        <v>Change vs S0</v>
      </c>
      <c r="B6" s="45" t="str">
        <v>S_T (USD/EUR)</v>
      </c>
      <c r="C6" s="45" t="str">
        <v>Unhedged Proceeds (USD)</v>
      </c>
      <c r="D6" s="45" t="str">
        <v>Forward Proceeds (USD)</v>
      </c>
      <c r="E6" s="45" t="str">
        <v>Money-Market Proceeds (USD)</v>
      </c>
      <c r="F6" s="45" t="str">
        <v>Put Net Proceeds (USD)</v>
      </c>
      <c r="G6" s="46" t="str">
        <v>Call Protected Cost (USD)</v>
      </c>
    </row>
    <row r="7">
      <c r="A7" s="142" t="n">
        <f>-5%</f>
        <v>-0.05</v>
      </c>
      <c r="B7" s="143">
        <f>S0_in*(1+A7)</f>
        <v>1.0924999999999998</v>
      </c>
      <c r="C7" s="144">
        <f>FC_AMT*B7</f>
        <v>4697749.999999999</v>
      </c>
      <c r="D7" s="144">
        <f>FWD_PROCEEDS</f>
        <v>5077010.0</v>
      </c>
      <c r="E7" s="144">
        <f>MM_PROCEEDS</f>
        <v>5077007.952863817</v>
      </c>
      <c r="F7" s="144">
        <f>FC_AMT*MAX(B7,K_PUT)-PUT_PREM_TOTAL</f>
        <v>4839650.0</v>
      </c>
      <c r="G7" s="123">
        <f>FC_AMT*MIN(B7,K_CALL)+CALL_PREM_TOTAL</f>
        <v>4890389.999999999</v>
      </c>
    </row>
    <row r="8">
      <c r="A8" s="142" t="n">
        <f>A7+1%</f>
        <v>-0.04</v>
      </c>
      <c r="B8" s="143">
        <f>S0_in*(1+A8)</f>
        <v>1.1039999999999999</v>
      </c>
      <c r="C8" s="144">
        <f>FC_AMT*B8</f>
        <v>4747199.999999999</v>
      </c>
      <c r="D8" s="144">
        <f>FWD_PROCEEDS</f>
        <v>5077010.0</v>
      </c>
      <c r="E8" s="144">
        <f>MM_PROCEEDS</f>
        <v>5077007.952863817</v>
      </c>
      <c r="F8" s="144">
        <f>FC_AMT*MAX(B8,K_PUT)-PUT_PREM_TOTAL</f>
        <v>4839650.0</v>
      </c>
      <c r="G8" s="123">
        <f>FC_AMT*MIN(B8,K_CALL)+CALL_PREM_TOTAL</f>
        <v>4939839.999999999</v>
      </c>
    </row>
    <row r="9">
      <c r="A9" s="142" t="n">
        <f>A8+1%</f>
        <v>-0.03</v>
      </c>
      <c r="B9" s="143">
        <f>S0_in*(1+A9)</f>
        <v>1.1155</v>
      </c>
      <c r="C9" s="144">
        <f>FC_AMT*B9</f>
        <v>4796650.0</v>
      </c>
      <c r="D9" s="144">
        <f>FWD_PROCEEDS</f>
        <v>5077010.0</v>
      </c>
      <c r="E9" s="144">
        <f>MM_PROCEEDS</f>
        <v>5077007.952863817</v>
      </c>
      <c r="F9" s="144">
        <f>FC_AMT*MAX(B9,K_PUT)-PUT_PREM_TOTAL</f>
        <v>4839650.0</v>
      </c>
      <c r="G9" s="123">
        <f>FC_AMT*MIN(B9,K_CALL)+CALL_PREM_TOTAL</f>
        <v>4989290.0</v>
      </c>
    </row>
    <row r="10">
      <c r="A10" s="142" t="n">
        <f>A9+1%</f>
        <v>-0.019999999999999997</v>
      </c>
      <c r="B10" s="143">
        <f>S0_in*(1+A10)</f>
        <v>1.127</v>
      </c>
      <c r="C10" s="144">
        <f>FC_AMT*B10</f>
        <v>4846100.0</v>
      </c>
      <c r="D10" s="144">
        <f>FWD_PROCEEDS</f>
        <v>5077010.0</v>
      </c>
      <c r="E10" s="144">
        <f>MM_PROCEEDS</f>
        <v>5077007.952863817</v>
      </c>
      <c r="F10" s="144">
        <f>FC_AMT*MAX(B10,K_PUT)-PUT_PREM_TOTAL</f>
        <v>4839650.0</v>
      </c>
      <c r="G10" s="123">
        <f>FC_AMT*MIN(B10,K_CALL)+CALL_PREM_TOTAL</f>
        <v>5038740.0</v>
      </c>
    </row>
    <row r="11">
      <c r="A11" s="142" t="n">
        <f>A10+1%</f>
        <v>-0.009999999999999997</v>
      </c>
      <c r="B11" s="143">
        <f>S0_in*(1+A11)</f>
        <v>1.1384999999999998</v>
      </c>
      <c r="C11" s="144">
        <f>FC_AMT*B11</f>
        <v>4895549.999999999</v>
      </c>
      <c r="D11" s="144">
        <f>FWD_PROCEEDS</f>
        <v>5077010.0</v>
      </c>
      <c r="E11" s="144">
        <f>MM_PROCEEDS</f>
        <v>5077007.952863817</v>
      </c>
      <c r="F11" s="144">
        <f>FC_AMT*MAX(B11,K_PUT)-PUT_PREM_TOTAL</f>
        <v>4839650.0</v>
      </c>
      <c r="G11" s="123">
        <f>FC_AMT*MIN(B11,K_CALL)+CALL_PREM_TOTAL</f>
        <v>5088189.999999999</v>
      </c>
    </row>
    <row r="12">
      <c r="A12" s="142" t="n">
        <f>A11+1%</f>
        <v>3.469446951953614e-18</v>
      </c>
      <c r="B12" s="143">
        <f>S0_in*(1+A12)</f>
        <v>1.15</v>
      </c>
      <c r="C12" s="144">
        <f>FC_AMT*B12</f>
        <v>4945000.0</v>
      </c>
      <c r="D12" s="144">
        <f>FWD_PROCEEDS</f>
        <v>5077010.0</v>
      </c>
      <c r="E12" s="144">
        <f>MM_PROCEEDS</f>
        <v>5077007.952863817</v>
      </c>
      <c r="F12" s="144">
        <f>FC_AMT*MAX(B12,K_PUT)-PUT_PREM_TOTAL</f>
        <v>4839650.0</v>
      </c>
      <c r="G12" s="123">
        <f>FC_AMT*MIN(B12,K_CALL)+CALL_PREM_TOTAL</f>
        <v>5137640.0</v>
      </c>
    </row>
    <row r="13">
      <c r="A13" s="142" t="n">
        <f>A12+1%</f>
        <v>0.010000000000000004</v>
      </c>
      <c r="B13" s="143">
        <f>S0_in*(1+A13)</f>
        <v>1.1615</v>
      </c>
      <c r="C13" s="144">
        <f>FC_AMT*B13</f>
        <v>4994450.0</v>
      </c>
      <c r="D13" s="144">
        <f>FWD_PROCEEDS</f>
        <v>5077010.0</v>
      </c>
      <c r="E13" s="144">
        <f>MM_PROCEEDS</f>
        <v>5077007.952863817</v>
      </c>
      <c r="F13" s="144">
        <f>FC_AMT*MAX(B13,K_PUT)-PUT_PREM_TOTAL</f>
        <v>4889100.0</v>
      </c>
      <c r="G13" s="123">
        <f>FC_AMT*MIN(B13,K_CALL)+CALL_PREM_TOTAL</f>
        <v>5137640.0</v>
      </c>
    </row>
    <row r="14">
      <c r="A14" s="142" t="n">
        <f>A13+1%</f>
        <v>0.020000000000000004</v>
      </c>
      <c r="B14" s="143">
        <f>S0_in*(1+A14)</f>
        <v>1.1729999999999998</v>
      </c>
      <c r="C14" s="144">
        <f>FC_AMT*B14</f>
        <v>5043899.999999999</v>
      </c>
      <c r="D14" s="144">
        <f>FWD_PROCEEDS</f>
        <v>5077010.0</v>
      </c>
      <c r="E14" s="144">
        <f>MM_PROCEEDS</f>
        <v>5077007.952863817</v>
      </c>
      <c r="F14" s="144">
        <f>FC_AMT*MAX(B14,K_PUT)-PUT_PREM_TOTAL</f>
        <v>4938549.999999999</v>
      </c>
      <c r="G14" s="123">
        <f>FC_AMT*MIN(B14,K_CALL)+CALL_PREM_TOTAL</f>
        <v>5137640.0</v>
      </c>
    </row>
    <row r="15">
      <c r="A15" s="142" t="n">
        <f>A14+1%</f>
        <v>0.030000000000000006</v>
      </c>
      <c r="B15" s="143">
        <f>S0_in*(1+A15)</f>
        <v>1.1844999999999999</v>
      </c>
      <c r="C15" s="144">
        <f>FC_AMT*B15</f>
        <v>5093349.999999999</v>
      </c>
      <c r="D15" s="144">
        <f>FWD_PROCEEDS</f>
        <v>5077010.0</v>
      </c>
      <c r="E15" s="144">
        <f>MM_PROCEEDS</f>
        <v>5077007.952863817</v>
      </c>
      <c r="F15" s="144">
        <f>FC_AMT*MAX(B15,K_PUT)-PUT_PREM_TOTAL</f>
        <v>4987999.999999999</v>
      </c>
      <c r="G15" s="123">
        <f>FC_AMT*MIN(B15,K_CALL)+CALL_PREM_TOTAL</f>
        <v>5137640.0</v>
      </c>
    </row>
    <row r="16">
      <c r="A16" s="142" t="n">
        <f>A15+1%</f>
        <v>0.04000000000000001</v>
      </c>
      <c r="B16" s="143">
        <f>S0_in*(1+A16)</f>
        <v>1.196</v>
      </c>
      <c r="C16" s="144">
        <f>FC_AMT*B16</f>
        <v>5142800.0</v>
      </c>
      <c r="D16" s="144">
        <f>FWD_PROCEEDS</f>
        <v>5077010.0</v>
      </c>
      <c r="E16" s="144">
        <f>MM_PROCEEDS</f>
        <v>5077007.952863817</v>
      </c>
      <c r="F16" s="144">
        <f>FC_AMT*MAX(B16,K_PUT)-PUT_PREM_TOTAL</f>
        <v>5037450.0</v>
      </c>
      <c r="G16" s="123">
        <f>FC_AMT*MIN(B16,K_CALL)+CALL_PREM_TOTAL</f>
        <v>5137640.0</v>
      </c>
    </row>
    <row r="17">
      <c r="A17" s="145" t="n">
        <f>A16+1%</f>
        <v>0.05000000000000001</v>
      </c>
      <c r="B17" s="146">
        <f>S0_in*(1+A17)</f>
        <v>1.2075</v>
      </c>
      <c r="C17" s="147">
        <f>FC_AMT*B17</f>
        <v>5192250.0</v>
      </c>
      <c r="D17" s="147">
        <f>FWD_PROCEEDS</f>
        <v>5077010.0</v>
      </c>
      <c r="E17" s="147">
        <f>MM_PROCEEDS</f>
        <v>5077007.952863817</v>
      </c>
      <c r="F17" s="147">
        <f>FC_AMT*MAX(B17,K_PUT)-PUT_PREM_TOTAL</f>
        <v>5086900.0</v>
      </c>
      <c r="G17" s="148">
        <f>FC_AMT*MIN(B17,K_CALL)+CALL_PREM_TOTAL</f>
        <v>5137640.0</v>
      </c>
    </row>
  </sheetData>
  <mergeCells>
    <mergeCell ref="A1:J1"/>
    <mergeCell ref="A3:J4"/>
  </mergeCells>
  <pageMargins left="0.7" right="0.7" top="0.75" bottom="0.75" header="0.3" footer="0.3"/>
  <drawing r:id="Re29b74313e224af0"/>
  <tableParts count="1">
    <tablePart r:id="R1060aeb693054716"/>
  </tableParts>
</worksheet>
</file>

<file path=xl/worksheets/sheet8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24" hidden="0" customWidth="1"/>
    <col min="2" max="2" width="54" hidden="0" customWidth="1"/>
    <col min="4" max="4" width="8" hidden="0" customWidth="1"/>
    <col min="5" max="5" width="34" hidden="0" customWidth="1"/>
    <col min="6" max="6" width="32" hidden="0" customWidth="1"/>
    <col min="7" max="7" width="14" hidden="0" customWidth="1"/>
  </cols>
  <sheetData>
    <row r="1" ht="28" customHeight="1">
      <c r="A1" s="5" t="str">
        <v>Notes, Assumptions &amp; Validation Checks</v>
      </c>
      <c r="B1" s="5"/>
      <c r="C1" s="5"/>
      <c r="D1" s="5"/>
      <c r="E1" s="5"/>
      <c r="F1" s="5"/>
      <c r="G1" s="5"/>
    </row>
    <row r="3">
      <c r="A3" s="31" t="str">
        <v>Model Assumptions</v>
      </c>
      <c r="B3" s="31"/>
      <c r="D3" s="31" t="str">
        <v>Stage 3 Validation Checklist</v>
      </c>
      <c r="E3" s="31"/>
      <c r="F3" s="31"/>
      <c r="G3" s="31"/>
    </row>
    <row r="4">
      <c r="A4" s="44" t="str">
        <v>Assumption</v>
      </c>
      <c r="B4" s="46" t="str">
        <v>Specification</v>
      </c>
      <c r="D4" s="44" t="str">
        <v>#</v>
      </c>
      <c r="E4" s="45" t="str">
        <v>Validation</v>
      </c>
      <c r="F4" s="45" t="str">
        <v>Expectation</v>
      </c>
      <c r="G4" s="46" t="str">
        <v>Status</v>
      </c>
    </row>
    <row r="5">
      <c r="A5" s="71" t="str">
        <v>Interest convention</v>
      </c>
      <c r="B5" s="88" t="str">
        <v>Simple annual interest with ACT/360.</v>
      </c>
      <c r="D5" s="110" t="n">
        <v>1</v>
      </c>
      <c r="E5" s="69" t="str">
        <v>Forward proceeds check figure</v>
      </c>
      <c r="F5" s="69" t="str">
        <v>$5,077,010.00</v>
      </c>
      <c r="G5" s="158" t="str">
        <f>IF(ABS(FWD_PROCEEDS-5077010)&lt;0.01,"PASS","FLAG")</f>
        <v>PASS</v>
      </c>
    </row>
    <row r="6">
      <c r="A6" s="71" t="str">
        <v>Settlement</v>
      </c>
      <c r="B6" s="88" t="str">
        <v>T_DAYS remains exactly 365 days; ACT/360 applies only to interest accrual.</v>
      </c>
      <c r="D6" s="110" t="n">
        <v>2</v>
      </c>
      <c r="E6" s="69" t="str">
        <v>MM EUR borrowing check figure</v>
      </c>
      <c r="F6" s="69" t="str">
        <v>≈ €4,232,413.64</v>
      </c>
      <c r="G6" s="158" t="str">
        <f>IF(ABS(MM_BORROW_FC-4232413.6446)&lt;0.10,"PASS","FLAG")</f>
        <v>PASS</v>
      </c>
    </row>
    <row r="7">
      <c r="A7" s="71" t="str">
        <v>Exposure coverage</v>
      </c>
      <c r="B7" s="88" t="str">
        <v>100% of the EUR 4,300,000 receivable is modeled under each strategy.</v>
      </c>
      <c r="D7" s="110" t="n">
        <v>3</v>
      </c>
      <c r="E7" s="69" t="str">
        <v>MM USD-now check figure</v>
      </c>
      <c r="F7" s="69" t="str">
        <v>≈ $4,867,275.69</v>
      </c>
      <c r="G7" s="158" t="str">
        <f>IF(ABS(MM_USD_NOW-4867275.6913)&lt;0.10,"PASS","FLAG")</f>
        <v>PASS</v>
      </c>
    </row>
    <row r="8">
      <c r="A8" s="71" t="str">
        <v>Collection</v>
      </c>
      <c r="B8" s="88" t="str">
        <v>Receivable is collected in full on settlement and converted to USD.</v>
      </c>
      <c r="D8" s="110" t="n">
        <v>4</v>
      </c>
      <c r="E8" s="69" t="str">
        <v>MM settlement proceeds check figure</v>
      </c>
      <c r="F8" s="69" t="str">
        <v>≈ $5,077,007.95</v>
      </c>
      <c r="G8" s="158" t="str">
        <f>IF(ABS(MM_PROCEEDS-5077007.9529)&lt;0.10,"PASS","FLAG")</f>
        <v>PASS</v>
      </c>
    </row>
    <row r="9">
      <c r="A9" s="71" t="str">
        <v>Option strikes</v>
      </c>
      <c r="B9" s="88" t="str">
        <v>K_PUT and K_CALL initially equal S0_in; Stage 4 resets ATM strikes to live S0_in.</v>
      </c>
      <c r="D9" s="110" t="n">
        <v>5</v>
      </c>
      <c r="E9" s="69" t="str">
        <v>Implied forward check figure</v>
      </c>
      <c r="F9" s="69" t="str">
        <v>≈ 1.1806995</v>
      </c>
      <c r="G9" s="158" t="str">
        <f>IF(ABS(F_IMPLIED-1.1806995239)&lt;0.0000001,"PASS","FLAG")</f>
        <v>PASS</v>
      </c>
    </row>
    <row r="10">
      <c r="A10" s="71" t="str">
        <v>Option premium treatment</v>
      </c>
      <c r="B10" s="88" t="str">
        <v>Premiums are nominal USD hedge costs; not financed or compounded.</v>
      </c>
      <c r="D10" s="110" t="n">
        <v>6</v>
      </c>
      <c r="E10" s="69" t="str">
        <v>Quoted-vs-implied parity tolerance</v>
      </c>
      <c r="F10" s="69" t="str">
        <v>ABS(PARITY_GAP) &lt;= 0.00005</v>
      </c>
      <c r="G10" s="158" t="str">
        <f>IF(ABS(PARITY_GAP)&lt;=0.00005,"PASS","FLAG")</f>
        <v>PASS</v>
      </c>
    </row>
    <row r="11">
      <c r="A11" s="71" t="str">
        <v>Excluded items</v>
      </c>
      <c r="B11" s="88" t="str">
        <v>Transaction fees, bid-ask spreads, taxes, credit adjustments, collateral and margin are excluded.</v>
      </c>
      <c r="D11" s="110" t="n">
        <v>7</v>
      </c>
      <c r="E11" s="69" t="str">
        <v>Put premium total</v>
      </c>
      <c r="F11" s="69" t="str">
        <v>$105,350.00</v>
      </c>
      <c r="G11" s="158" t="str">
        <f>IF(ABS(PUT_PREM_TOTAL-105350)&lt;0.01,"PASS","FLAG")</f>
        <v>PASS</v>
      </c>
    </row>
    <row r="12">
      <c r="A12" s="71" t="str">
        <v>Parity expectation</v>
      </c>
      <c r="B12" s="88" t="str">
        <v>Forward and MM proceeds should be economically equivalent when covered interest parity holds.</v>
      </c>
      <c r="D12" s="110" t="n">
        <v>8</v>
      </c>
      <c r="E12" s="69" t="str">
        <v>Call premium total</v>
      </c>
      <c r="F12" s="69" t="str">
        <v>$192,640.00</v>
      </c>
      <c r="G12" s="158" t="str">
        <f>IF(ABS(CALL_PREM_TOTAL-192640)&lt;0.01,"PASS","FLAG")</f>
        <v>PASS</v>
      </c>
    </row>
    <row r="13">
      <c r="A13" s="156" t="str">
        <v>Call interpretation</v>
      </c>
      <c r="B13" s="91" t="str">
        <v>Call is for the reversed EUR-payable comparison, not the primary receivable hedge.</v>
      </c>
      <c r="D13" s="110" t="n">
        <v>9</v>
      </c>
      <c r="E13" s="69" t="str">
        <v>Sensitivity scenario count</v>
      </c>
      <c r="F13" s="69" t="str">
        <v>11 rows</v>
      </c>
      <c r="G13" s="158" t="str">
        <f>IF(ROWS(tblSensitivity[Change vs S0])=11,"PASS","FLAG")</f>
        <v>PASS</v>
      </c>
    </row>
    <row r="14">
      <c r="D14" s="110" t="n">
        <v>10</v>
      </c>
      <c r="E14" s="69" t="str">
        <v>Put downside floor</v>
      </c>
      <c r="F14" s="69" t="str">
        <v>$4,839,650.00</v>
      </c>
      <c r="G14" s="158" t="str">
        <f>IF(ABS(PUT_FLOOR-4839650)&lt;0.01,"PASS","FLAG")</f>
        <v>PASS</v>
      </c>
    </row>
    <row r="15">
      <c r="D15" s="112" t="n">
        <v>11</v>
      </c>
      <c r="E15" s="74" t="str">
        <v>Overall numeric checks</v>
      </c>
      <c r="F15" s="74" t="str">
        <v>All above PASS</v>
      </c>
      <c r="G15" s="134" t="str">
        <f>IF(COUNTIF(G5:G14,"FLAG")=0,"PASS","FLAG")</f>
        <v>PASS</v>
      </c>
    </row>
    <row r="16">
      <c r="A16" s="31" t="str">
        <v>Build Contract Notes</v>
      </c>
      <c r="B16" s="31"/>
    </row>
    <row r="17">
      <c r="A17" s="44" t="str">
        <v>Item</v>
      </c>
      <c r="B17" s="46" t="str">
        <v>Implementation</v>
      </c>
    </row>
    <row r="18">
      <c r="A18" s="47" t="str">
        <v>Named ranges</v>
      </c>
      <c r="B18" s="19" t="str">
        <v>Ten required input names plus named outputs are defined at workbook level.</v>
      </c>
    </row>
    <row r="19">
      <c r="A19" s="47" t="str">
        <v>Calculated values</v>
      </c>
      <c r="B19" s="19" t="str">
        <v>Forward, MM, options, sensitivity and checks use formulas rather than pasted results.</v>
      </c>
    </row>
    <row r="20">
      <c r="A20" s="47" t="str">
        <v>Sensitivity</v>
      </c>
      <c r="B20" s="19" t="str">
        <v>All 11 scenario rows are formula-driven; chart references formula-driven values.</v>
      </c>
    </row>
    <row r="21">
      <c r="A21" s="49" t="str">
        <v>Stage 4</v>
      </c>
      <c r="B21" s="21" t="str">
        <v>Market placeholders are replaced and documented with source/date/timestamp.</v>
      </c>
    </row>
  </sheetData>
  <mergeCells>
    <mergeCell ref="A1:G1"/>
    <mergeCell ref="A3:B3"/>
    <mergeCell ref="D3:G3"/>
    <mergeCell ref="A16:B16"/>
  </mergeCells>
  <pageMargins left="0.7" right="0.7" top="0.75" bottom="0.75" header="0.3" footer="0.3"/>
</worksheet>
</file>